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slicers/slicer3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truenas.bepi.local\PCP\INDICADORES\EFICIÊNCIA DE FÁBRICA\2026\"/>
    </mc:Choice>
  </mc:AlternateContent>
  <xr:revisionPtr revIDLastSave="0" documentId="13_ncr:1_{33C0EF35-EA3A-4707-AE21-482C1DA4A122}" xr6:coauthVersionLast="47" xr6:coauthVersionMax="47" xr10:uidLastSave="{00000000-0000-0000-0000-000000000000}"/>
  <bookViews>
    <workbookView xWindow="23880" yWindow="-120" windowWidth="21840" windowHeight="13140" tabRatio="487" activeTab="1" xr2:uid="{03E0C295-0EF0-44B7-962B-A32F7B51A1EB}"/>
  </bookViews>
  <sheets>
    <sheet name="BD_PROD" sheetId="4" r:id="rId1"/>
    <sheet name="BD_PARADAS" sheetId="5" r:id="rId2"/>
    <sheet name="RELATÓRIO_EFIC" sheetId="6" r:id="rId3"/>
  </sheets>
  <externalReferences>
    <externalReference r:id="rId4"/>
  </externalReferences>
  <definedNames>
    <definedName name="_xlnm._FilterDatabase" localSheetId="1" hidden="1">BD_PARADAS!$B$2:$G$59</definedName>
    <definedName name="_xlnm._FilterDatabase" localSheetId="0" hidden="1">BD_PROD!$B$6:$AB$6</definedName>
    <definedName name="SegmentaçãodeDados_Causa_Raiz">#N/A</definedName>
    <definedName name="SegmentaçãodeDados_Data">#N/A</definedName>
    <definedName name="SegmentaçãodeDados_Data1">#N/A</definedName>
    <definedName name="SegmentaçãodeDados_Data2">#N/A</definedName>
    <definedName name="SegmentaçãodeDados_Setor">#N/A</definedName>
    <definedName name="SegmentaçãodeDados_Turno">#N/A</definedName>
  </definedNames>
  <calcPr calcId="191029"/>
  <pivotCaches>
    <pivotCache cacheId="7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  <x14:slicerCache r:id="rId9"/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4" i="5" l="1"/>
  <c r="J34" i="5"/>
  <c r="M27" i="4"/>
  <c r="K35" i="5" l="1"/>
  <c r="Y36" i="4"/>
  <c r="P26" i="4"/>
  <c r="Q26" i="4"/>
  <c r="S26" i="4"/>
  <c r="T26" i="4"/>
  <c r="W26" i="4"/>
  <c r="X26" i="4"/>
  <c r="Y26" i="4"/>
  <c r="Z26" i="4"/>
  <c r="C27" i="4"/>
  <c r="J2" i="5"/>
  <c r="XFD2" i="5" s="1"/>
  <c r="X12" i="4"/>
  <c r="O26" i="4" l="1"/>
  <c r="N26" i="4" s="1"/>
  <c r="AA26" i="4"/>
  <c r="R26" i="4"/>
  <c r="U26" i="4"/>
  <c r="V26" i="4" s="1"/>
  <c r="C11" i="6"/>
  <c r="E11" i="6"/>
  <c r="D11" i="6"/>
  <c r="AB26" i="4" l="1"/>
  <c r="AC26" i="4" s="1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W7" i="4"/>
  <c r="X7" i="4"/>
  <c r="X8" i="4"/>
  <c r="X9" i="4"/>
  <c r="X10" i="4"/>
  <c r="X11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Q7" i="4"/>
  <c r="P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C40" i="6"/>
  <c r="D40" i="6"/>
  <c r="E40" i="6"/>
  <c r="W27" i="4" l="1"/>
  <c r="P27" i="4"/>
  <c r="Q27" i="4"/>
  <c r="X27" i="4"/>
  <c r="O7" i="4"/>
  <c r="AA15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U7" i="4" l="1"/>
  <c r="V7" i="4" s="1"/>
  <c r="AA8" i="4"/>
  <c r="AA9" i="4"/>
  <c r="AA10" i="4"/>
  <c r="AA13" i="4"/>
  <c r="AA14" i="4"/>
  <c r="AA16" i="4"/>
  <c r="AA18" i="4"/>
  <c r="AA19" i="4"/>
  <c r="AA20" i="4"/>
  <c r="AA21" i="4"/>
  <c r="AA24" i="4"/>
  <c r="AA25" i="4"/>
  <c r="AA11" i="4"/>
  <c r="AA12" i="4"/>
  <c r="AA17" i="4"/>
  <c r="AA22" i="4"/>
  <c r="AA23" i="4"/>
  <c r="O10" i="4"/>
  <c r="N10" i="4" s="1"/>
  <c r="O11" i="4"/>
  <c r="N11" i="4" s="1"/>
  <c r="O12" i="4"/>
  <c r="N12" i="4" s="1"/>
  <c r="O13" i="4"/>
  <c r="N13" i="4" s="1"/>
  <c r="O16" i="4"/>
  <c r="N16" i="4" s="1"/>
  <c r="O17" i="4"/>
  <c r="N17" i="4" s="1"/>
  <c r="O18" i="4"/>
  <c r="N18" i="4" s="1"/>
  <c r="O21" i="4"/>
  <c r="N21" i="4" s="1"/>
  <c r="O22" i="4"/>
  <c r="N22" i="4" s="1"/>
  <c r="O23" i="4"/>
  <c r="N23" i="4" s="1"/>
  <c r="O8" i="4"/>
  <c r="N8" i="4" s="1"/>
  <c r="O9" i="4"/>
  <c r="N9" i="4" s="1"/>
  <c r="O14" i="4"/>
  <c r="N14" i="4" s="1"/>
  <c r="O15" i="4"/>
  <c r="O19" i="4"/>
  <c r="N19" i="4" s="1"/>
  <c r="O20" i="4"/>
  <c r="N20" i="4" s="1"/>
  <c r="O24" i="4"/>
  <c r="N24" i="4" s="1"/>
  <c r="O25" i="4"/>
  <c r="N25" i="4" s="1"/>
  <c r="U11" i="4"/>
  <c r="V11" i="4" s="1"/>
  <c r="U12" i="4"/>
  <c r="V12" i="4" s="1"/>
  <c r="U17" i="4"/>
  <c r="V17" i="4" s="1"/>
  <c r="U22" i="4"/>
  <c r="V22" i="4" s="1"/>
  <c r="U8" i="4"/>
  <c r="V8" i="4" s="1"/>
  <c r="U9" i="4"/>
  <c r="V9" i="4" s="1"/>
  <c r="U10" i="4"/>
  <c r="V10" i="4" s="1"/>
  <c r="U13" i="4"/>
  <c r="V13" i="4" s="1"/>
  <c r="U14" i="4"/>
  <c r="V14" i="4" s="1"/>
  <c r="U15" i="4"/>
  <c r="V15" i="4" s="1"/>
  <c r="AB15" i="4" s="1"/>
  <c r="U16" i="4"/>
  <c r="V16" i="4" s="1"/>
  <c r="U18" i="4"/>
  <c r="V18" i="4" s="1"/>
  <c r="U19" i="4"/>
  <c r="V19" i="4" s="1"/>
  <c r="U20" i="4"/>
  <c r="V20" i="4" s="1"/>
  <c r="U21" i="4"/>
  <c r="V21" i="4" s="1"/>
  <c r="U23" i="4"/>
  <c r="V23" i="4" s="1"/>
  <c r="U24" i="4"/>
  <c r="V24" i="4" s="1"/>
  <c r="U25" i="4"/>
  <c r="V25" i="4" s="1"/>
  <c r="R10" i="4"/>
  <c r="R11" i="4"/>
  <c r="R12" i="4"/>
  <c r="R13" i="4"/>
  <c r="R16" i="4"/>
  <c r="R17" i="4"/>
  <c r="R18" i="4"/>
  <c r="R21" i="4"/>
  <c r="R22" i="4"/>
  <c r="R23" i="4"/>
  <c r="R8" i="4"/>
  <c r="R9" i="4"/>
  <c r="R14" i="4"/>
  <c r="R15" i="4"/>
  <c r="R19" i="4"/>
  <c r="R20" i="4"/>
  <c r="R24" i="4"/>
  <c r="R25" i="4"/>
  <c r="V27" i="4" l="1"/>
  <c r="AB17" i="4"/>
  <c r="AC17" i="4" s="1"/>
  <c r="Z36" i="4" s="1"/>
  <c r="AB18" i="4"/>
  <c r="AC18" i="4" s="1"/>
  <c r="N15" i="4"/>
  <c r="AC15" i="4"/>
  <c r="AB24" i="4"/>
  <c r="AC24" i="4" s="1"/>
  <c r="AB16" i="4"/>
  <c r="AC16" i="4" s="1"/>
  <c r="AB8" i="4"/>
  <c r="AC8" i="4" s="1"/>
  <c r="AB14" i="4"/>
  <c r="AC14" i="4" s="1"/>
  <c r="AB20" i="4"/>
  <c r="AC20" i="4" s="1"/>
  <c r="AB13" i="4"/>
  <c r="AC13" i="4" s="1"/>
  <c r="AB22" i="4"/>
  <c r="AC22" i="4" s="1"/>
  <c r="AB21" i="4"/>
  <c r="AC21" i="4" s="1"/>
  <c r="AB19" i="4"/>
  <c r="AC19" i="4" s="1"/>
  <c r="AB10" i="4"/>
  <c r="AC10" i="4" s="1"/>
  <c r="AB12" i="4"/>
  <c r="AC12" i="4" s="1"/>
  <c r="AB23" i="4"/>
  <c r="AC23" i="4" s="1"/>
  <c r="AB25" i="4"/>
  <c r="AC25" i="4" s="1"/>
  <c r="AB9" i="4"/>
  <c r="AC9" i="4" s="1"/>
  <c r="AB11" i="4"/>
  <c r="AC11" i="4" s="1"/>
  <c r="D56" i="4"/>
  <c r="C56" i="4"/>
  <c r="M56" i="4"/>
  <c r="M28" i="4"/>
  <c r="R7" i="4" l="1"/>
  <c r="R27" i="4" s="1"/>
  <c r="AA7" i="4"/>
  <c r="B11" i="6"/>
  <c r="AA27" i="4" l="1"/>
  <c r="AB7" i="4"/>
  <c r="N7" i="4"/>
  <c r="N27" i="4" s="1"/>
  <c r="O27" i="4"/>
  <c r="E10" i="6"/>
  <c r="C10" i="6"/>
  <c r="D10" i="6"/>
  <c r="D4" i="6"/>
  <c r="D5" i="6"/>
  <c r="D3" i="6"/>
  <c r="AC7" i="4" l="1"/>
  <c r="AC27" i="4" s="1"/>
  <c r="AB27" i="4"/>
  <c r="B41" i="6" l="1" a="1"/>
  <c r="B41" i="6" s="1"/>
  <c r="B60" i="6" l="1"/>
  <c r="D41" i="6"/>
  <c r="B43" i="6"/>
  <c r="D44" i="6"/>
  <c r="B46" i="6"/>
  <c r="D47" i="6"/>
  <c r="B49" i="6"/>
  <c r="D50" i="6"/>
  <c r="B52" i="6"/>
  <c r="D53" i="6"/>
  <c r="B55" i="6"/>
  <c r="D56" i="6"/>
  <c r="B58" i="6"/>
  <c r="D59" i="6"/>
  <c r="E41" i="6"/>
  <c r="C43" i="6"/>
  <c r="E44" i="6"/>
  <c r="C46" i="6"/>
  <c r="E47" i="6"/>
  <c r="C49" i="6"/>
  <c r="E50" i="6"/>
  <c r="C52" i="6"/>
  <c r="E53" i="6"/>
  <c r="C55" i="6"/>
  <c r="E56" i="6"/>
  <c r="C58" i="6"/>
  <c r="E59" i="6"/>
  <c r="B42" i="6"/>
  <c r="D43" i="6"/>
  <c r="B45" i="6"/>
  <c r="D46" i="6"/>
  <c r="B48" i="6"/>
  <c r="D49" i="6"/>
  <c r="B51" i="6"/>
  <c r="D52" i="6"/>
  <c r="B54" i="6"/>
  <c r="D55" i="6"/>
  <c r="B57" i="6"/>
  <c r="D58" i="6"/>
  <c r="C42" i="6"/>
  <c r="E43" i="6"/>
  <c r="C45" i="6"/>
  <c r="E46" i="6"/>
  <c r="C48" i="6"/>
  <c r="E49" i="6"/>
  <c r="C51" i="6"/>
  <c r="E52" i="6"/>
  <c r="C54" i="6"/>
  <c r="E55" i="6"/>
  <c r="C57" i="6"/>
  <c r="E58" i="6"/>
  <c r="C60" i="6"/>
  <c r="D42" i="6"/>
  <c r="B44" i="6"/>
  <c r="D45" i="6"/>
  <c r="B47" i="6"/>
  <c r="D48" i="6"/>
  <c r="B50" i="6"/>
  <c r="D51" i="6"/>
  <c r="B53" i="6"/>
  <c r="D54" i="6"/>
  <c r="B56" i="6"/>
  <c r="D57" i="6"/>
  <c r="B59" i="6"/>
  <c r="D60" i="6"/>
  <c r="C41" i="6"/>
  <c r="E42" i="6"/>
  <c r="C44" i="6"/>
  <c r="E45" i="6"/>
  <c r="C47" i="6"/>
  <c r="E48" i="6"/>
  <c r="C50" i="6"/>
  <c r="E51" i="6"/>
  <c r="C53" i="6"/>
  <c r="E54" i="6"/>
  <c r="C56" i="6"/>
  <c r="E57" i="6"/>
  <c r="C59" i="6"/>
  <c r="E6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Loguercio</author>
  </authors>
  <commentList>
    <comment ref="E43" authorId="0" shapeId="0" xr:uid="{45BDD9D7-1C67-4E4C-97F8-C5D17798A70A}">
      <text>
        <r>
          <rPr>
            <b/>
            <sz val="9"/>
            <color indexed="81"/>
            <rFont val="Segoe UI"/>
            <family val="2"/>
          </rPr>
          <t>Diego Loguercio:</t>
        </r>
        <r>
          <rPr>
            <sz val="9"/>
            <color indexed="81"/>
            <rFont val="Segoe UI"/>
            <family val="2"/>
          </rPr>
          <t xml:space="preserve">
Falta de registro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<sst xmlns="http://schemas.openxmlformats.org/spreadsheetml/2006/main" count="337" uniqueCount="130">
  <si>
    <t>Produtividade</t>
  </si>
  <si>
    <t>Carga Horária</t>
  </si>
  <si>
    <t xml:space="preserve">Data </t>
  </si>
  <si>
    <t>Motivo</t>
  </si>
  <si>
    <t>Tempo</t>
  </si>
  <si>
    <t>Data</t>
  </si>
  <si>
    <t>Tempo Fábrica</t>
  </si>
  <si>
    <t>Indicadores</t>
  </si>
  <si>
    <t>Tempo de fábrica</t>
  </si>
  <si>
    <t>Ruim</t>
  </si>
  <si>
    <t>Regular</t>
  </si>
  <si>
    <t>Bom</t>
  </si>
  <si>
    <t>Maquinário</t>
  </si>
  <si>
    <t>Início Start Fábrica</t>
  </si>
  <si>
    <t>Início F1</t>
  </si>
  <si>
    <t>Início F2</t>
  </si>
  <si>
    <t>Fim F1</t>
  </si>
  <si>
    <t>Fim F2</t>
  </si>
  <si>
    <t>Tempo Prod F1</t>
  </si>
  <si>
    <t>Tempo Prod F2</t>
  </si>
  <si>
    <t>Paradas N prog F1</t>
  </si>
  <si>
    <t>Paradas N prog F2</t>
  </si>
  <si>
    <t>Total Paradas N prog</t>
  </si>
  <si>
    <t>Média Paradas n prog</t>
  </si>
  <si>
    <t>Início do Ensaque 1</t>
  </si>
  <si>
    <t>Início Ensaque 2</t>
  </si>
  <si>
    <t>Tempo Start L1</t>
  </si>
  <si>
    <t>TempoStart L2</t>
  </si>
  <si>
    <t>Média de Start</t>
  </si>
  <si>
    <t>Tempo Parado</t>
  </si>
  <si>
    <t>Fim Ensaque 1</t>
  </si>
  <si>
    <t>Fim Ensaque 2</t>
  </si>
  <si>
    <t>Produtividade Ens 1</t>
  </si>
  <si>
    <t>Prod Ens 2</t>
  </si>
  <si>
    <t>Prod Média</t>
  </si>
  <si>
    <t>Qtd Produzida</t>
  </si>
  <si>
    <t>Tonelada/h</t>
  </si>
  <si>
    <t>Data Inicial</t>
  </si>
  <si>
    <t>Data Final</t>
  </si>
  <si>
    <t>Meta da Produção</t>
  </si>
  <si>
    <t>Eficiência do Período</t>
  </si>
  <si>
    <t>Eficiência Diária</t>
  </si>
  <si>
    <t>Período</t>
  </si>
  <si>
    <t>Total Geral</t>
  </si>
  <si>
    <t>Produtividade.</t>
  </si>
  <si>
    <t>Tempo Médio Produção Fornos</t>
  </si>
  <si>
    <t xml:space="preserve"> </t>
  </si>
  <si>
    <t>Causa Raiz</t>
  </si>
  <si>
    <t>Setor</t>
  </si>
  <si>
    <t xml:space="preserve">Total </t>
  </si>
  <si>
    <t>Forno 1</t>
  </si>
  <si>
    <t>Falha na prensa 1</t>
  </si>
  <si>
    <t>Causa</t>
  </si>
  <si>
    <t>N/A</t>
  </si>
  <si>
    <t>Troca de peneiras</t>
  </si>
  <si>
    <t>Forno 2</t>
  </si>
  <si>
    <t xml:space="preserve">Forno 2 </t>
  </si>
  <si>
    <t>Falta de MP</t>
  </si>
  <si>
    <t xml:space="preserve">Treinamento </t>
  </si>
  <si>
    <t>Montagem do equipamento</t>
  </si>
  <si>
    <t>Aguardando raiz passar pelo raspador</t>
  </si>
  <si>
    <t>Turno</t>
  </si>
  <si>
    <t>Ensaque 1</t>
  </si>
  <si>
    <t>Extração</t>
  </si>
  <si>
    <t>Posição do Pistão</t>
  </si>
  <si>
    <t>Operacional</t>
  </si>
  <si>
    <t>Correia escapou</t>
  </si>
  <si>
    <t>Falta de Massa</t>
  </si>
  <si>
    <t>Desarme da Rosca inclinada</t>
  </si>
  <si>
    <t>Desarmerme da rosca Inclinada</t>
  </si>
  <si>
    <t>Moinho entupido (Saida F1)</t>
  </si>
  <si>
    <t>Moinho Desarmado</t>
  </si>
  <si>
    <t>Falta de Planejamento</t>
  </si>
  <si>
    <t>Não foi realizado após a Limpeza</t>
  </si>
  <si>
    <t>FAZ PARTE DO PROCESSO (NÃO ENTRA COMO PARADA)</t>
  </si>
  <si>
    <t>Descarga</t>
  </si>
  <si>
    <t>Troca de correia (Resfriador 1)</t>
  </si>
  <si>
    <t>Externa</t>
  </si>
  <si>
    <t>Manutenção</t>
  </si>
  <si>
    <t>Elétrica</t>
  </si>
  <si>
    <t>2° Turno</t>
  </si>
  <si>
    <t>1° Turno</t>
  </si>
  <si>
    <t>Revesamento</t>
  </si>
  <si>
    <t>Atraso de chegada da carga (Faltou uma carga no dia, por conta da chuva)</t>
  </si>
  <si>
    <t>Falta de Pessoas (Direcionamento para o Silo)</t>
  </si>
  <si>
    <t xml:space="preserve">Chuva (Impactou na entrega das cargas) </t>
  </si>
  <si>
    <t>Atraso na chegada da carga (Redução de velocidade da linha)</t>
  </si>
  <si>
    <t>Melhorar a Proporção P10 C/30% de Fundo (Direcionado para o silo).</t>
  </si>
  <si>
    <t>Desarme do Picador</t>
  </si>
  <si>
    <t>Picador entupido</t>
  </si>
  <si>
    <t>automação de parada por nivel</t>
  </si>
  <si>
    <t xml:space="preserve">Filtro Travado </t>
  </si>
  <si>
    <t>Prensa não estava pressurizando</t>
  </si>
  <si>
    <t>Rosca Inclinada</t>
  </si>
  <si>
    <t>Queima do relé (Filtro 2)</t>
  </si>
  <si>
    <t>Rosca do vibrador travada</t>
  </si>
  <si>
    <t>Raspador travado</t>
  </si>
  <si>
    <t>Motor pesou e travou</t>
  </si>
  <si>
    <t>Desarme do picador</t>
  </si>
  <si>
    <t>Desarme da rosca R1 e R2</t>
  </si>
  <si>
    <t>Falta de massa</t>
  </si>
  <si>
    <t>Moinho do picador travado</t>
  </si>
  <si>
    <t>Pico de energia</t>
  </si>
  <si>
    <t>Travamento do Moinho</t>
  </si>
  <si>
    <t>Falha no compressor</t>
  </si>
  <si>
    <t>Moinho do forno entupido</t>
  </si>
  <si>
    <t>Rosca inclinada para o bag de 1000 Kg desamou devido ao entupimento da caixa do ensaque 1</t>
  </si>
  <si>
    <t>Raspador desarmado</t>
  </si>
  <si>
    <t>Caixa cheia</t>
  </si>
  <si>
    <t>Atraso para descarregar</t>
  </si>
  <si>
    <t>Carolo entupindo moinho</t>
  </si>
  <si>
    <t>Rosca solta e Rapador 01 entupido</t>
  </si>
  <si>
    <t>Barra roscada danpeneira vibratória soltou, causando entupimento do rapador 1</t>
  </si>
  <si>
    <t>Picador entupide e Barra roscada solta</t>
  </si>
  <si>
    <t xml:space="preserve">Excesso na caixa do ensaque 1 </t>
  </si>
  <si>
    <t>Erro operacional (Falta de Prensa)</t>
  </si>
  <si>
    <t>Falta de água (Manutenção externa)</t>
  </si>
  <si>
    <t>Desligou os equipamnetos com raiz no picador</t>
  </si>
  <si>
    <t>Ensaque 2</t>
  </si>
  <si>
    <t>Falha de automação</t>
  </si>
  <si>
    <t>Rosca de alimentação do resfriador escapou</t>
  </si>
  <si>
    <t>Sensor de medição do volume da caixa dosedeira (extração) com problema</t>
  </si>
  <si>
    <t>Tempo de uso</t>
  </si>
  <si>
    <t>Parou com raiz dentro do máquinario (falha elétrica)</t>
  </si>
  <si>
    <t>Entupimento da rosca intercepitadora (desarme)</t>
  </si>
  <si>
    <t>Desarme da rosca R1 e R2, Desarme do picador</t>
  </si>
  <si>
    <t>Falha qundo foi realizar o desligamento dos maquinarios (Não seguiu a ordem correta)</t>
  </si>
  <si>
    <t>compressor no manual</t>
  </si>
  <si>
    <t>Troca de SKU (ajuste falta de MP)</t>
  </si>
  <si>
    <t>Falta de massa no forno, filtro não conseguiu acompanhar a velocidade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</si>
</sst>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F400]h:mm:ss\ AM/PM"/>
    <numFmt numFmtId="165" formatCode="&quot;Menor que&quot;\ 0%"/>
    <numFmt numFmtId="166" formatCode="&quot;Acima de&quot;\ 0%"/>
    <numFmt numFmtId="167" formatCode="0&quot; dias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thin">
        <color indexed="64"/>
      </left>
      <right style="medium">
        <color rgb="FF002060"/>
      </right>
      <top style="thin">
        <color indexed="64"/>
      </top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2060"/>
      </bottom>
      <diagonal/>
    </border>
    <border>
      <left style="medium">
        <color rgb="FF002060"/>
      </left>
      <right style="thin">
        <color indexed="64"/>
      </right>
      <top/>
      <bottom style="thick">
        <color rgb="FF0020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167" fontId="0" fillId="9" borderId="10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5" fillId="6" borderId="1" xfId="0" applyNumberFormat="1" applyFont="1" applyFill="1" applyBorder="1" applyAlignment="1" applyProtection="1">
      <alignment horizontal="center"/>
      <protection locked="0"/>
    </xf>
    <xf numFmtId="0" fontId="7" fillId="7" borderId="1" xfId="0" applyFont="1" applyFill="1" applyBorder="1" applyAlignment="1">
      <alignment horizontal="center"/>
    </xf>
    <xf numFmtId="166" fontId="6" fillId="8" borderId="1" xfId="0" applyNumberFormat="1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4" fontId="8" fillId="10" borderId="1" xfId="0" applyNumberFormat="1" applyFont="1" applyFill="1" applyBorder="1" applyAlignment="1">
      <alignment horizontal="center"/>
    </xf>
    <xf numFmtId="0" fontId="0" fillId="9" borderId="1" xfId="0" applyFill="1" applyBorder="1" applyAlignment="1" applyProtection="1">
      <alignment horizontal="center"/>
      <protection locked="0"/>
    </xf>
    <xf numFmtId="14" fontId="3" fillId="9" borderId="6" xfId="0" applyNumberFormat="1" applyFont="1" applyFill="1" applyBorder="1" applyAlignment="1">
      <alignment horizontal="center"/>
    </xf>
    <xf numFmtId="14" fontId="0" fillId="9" borderId="0" xfId="0" applyNumberFormat="1" applyFill="1" applyAlignment="1" applyProtection="1">
      <alignment horizontal="center"/>
      <protection locked="0"/>
    </xf>
    <xf numFmtId="10" fontId="0" fillId="9" borderId="0" xfId="2" applyNumberFormat="1" applyFont="1" applyFill="1" applyBorder="1" applyAlignment="1">
      <alignment horizontal="center"/>
    </xf>
    <xf numFmtId="10" fontId="0" fillId="9" borderId="7" xfId="2" applyNumberFormat="1" applyFont="1" applyFill="1" applyBorder="1" applyAlignment="1">
      <alignment horizontal="center"/>
    </xf>
    <xf numFmtId="14" fontId="8" fillId="10" borderId="6" xfId="0" applyNumberFormat="1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10" fontId="8" fillId="10" borderId="0" xfId="2" applyNumberFormat="1" applyFont="1" applyFill="1" applyBorder="1" applyAlignment="1">
      <alignment horizontal="center"/>
    </xf>
    <xf numFmtId="10" fontId="8" fillId="10" borderId="7" xfId="2" applyNumberFormat="1" applyFont="1" applyFill="1" applyBorder="1" applyAlignment="1">
      <alignment horizontal="center"/>
    </xf>
    <xf numFmtId="10" fontId="0" fillId="0" borderId="9" xfId="2" applyNumberFormat="1" applyFont="1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0" fontId="3" fillId="0" borderId="1" xfId="0" pivotButton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4" fontId="9" fillId="11" borderId="2" xfId="0" applyNumberFormat="1" applyFont="1" applyFill="1" applyBorder="1" applyAlignment="1">
      <alignment horizontal="center"/>
    </xf>
    <xf numFmtId="10" fontId="3" fillId="9" borderId="0" xfId="2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0" fontId="1" fillId="0" borderId="9" xfId="2" applyNumberFormat="1" applyFont="1" applyBorder="1" applyAlignment="1">
      <alignment horizontal="center"/>
    </xf>
    <xf numFmtId="3" fontId="0" fillId="0" borderId="0" xfId="0" applyNumberFormat="1"/>
    <xf numFmtId="10" fontId="0" fillId="0" borderId="1" xfId="0" applyNumberFormat="1" applyBorder="1" applyAlignment="1">
      <alignment horizontal="center"/>
    </xf>
    <xf numFmtId="46" fontId="0" fillId="0" borderId="1" xfId="0" applyNumberFormat="1" applyBorder="1"/>
    <xf numFmtId="46" fontId="0" fillId="0" borderId="0" xfId="0" applyNumberFormat="1" applyAlignment="1">
      <alignment horizontal="center"/>
    </xf>
    <xf numFmtId="46" fontId="0" fillId="0" borderId="0" xfId="0" applyNumberFormat="1"/>
    <xf numFmtId="14" fontId="2" fillId="2" borderId="0" xfId="0" applyNumberFormat="1" applyFont="1" applyFill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>
      <alignment horizontal="center" vertical="center" wrapText="1"/>
    </xf>
    <xf numFmtId="46" fontId="2" fillId="2" borderId="13" xfId="0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3" fontId="0" fillId="0" borderId="11" xfId="1" applyNumberFormat="1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/>
    </xf>
    <xf numFmtId="46" fontId="0" fillId="0" borderId="11" xfId="0" applyNumberForma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/>
    <xf numFmtId="20" fontId="0" fillId="0" borderId="0" xfId="0" applyNumberFormat="1"/>
    <xf numFmtId="164" fontId="2" fillId="2" borderId="14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4" fontId="0" fillId="12" borderId="0" xfId="0" applyNumberFormat="1" applyFill="1" applyAlignment="1">
      <alignment horizontal="center" vertical="center"/>
    </xf>
    <xf numFmtId="1" fontId="0" fillId="12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 wrapText="1"/>
    </xf>
    <xf numFmtId="164" fontId="0" fillId="12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12" borderId="0" xfId="0" applyFont="1" applyFill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164" fontId="0" fillId="13" borderId="0" xfId="0" applyNumberFormat="1" applyFill="1" applyAlignment="1">
      <alignment horizontal="center" vertical="center"/>
    </xf>
    <xf numFmtId="14" fontId="8" fillId="10" borderId="1" xfId="0" applyNumberFormat="1" applyFont="1" applyFill="1" applyBorder="1" applyAlignment="1">
      <alignment horizontal="center"/>
    </xf>
    <xf numFmtId="14" fontId="8" fillId="10" borderId="3" xfId="0" applyNumberFormat="1" applyFont="1" applyFill="1" applyBorder="1" applyAlignment="1">
      <alignment horizontal="center"/>
    </xf>
    <xf numFmtId="14" fontId="8" fillId="10" borderId="4" xfId="0" applyNumberFormat="1" applyFont="1" applyFill="1" applyBorder="1" applyAlignment="1">
      <alignment horizontal="center"/>
    </xf>
    <xf numFmtId="14" fontId="8" fillId="10" borderId="5" xfId="0" applyNumberFormat="1" applyFont="1" applyFill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126"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/>
      </font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4" formatCode="0.00%"/>
    </dxf>
    <dxf>
      <numFmt numFmtId="14" formatCode="0.00%"/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color theme="0"/>
      </font>
    </dxf>
    <dxf>
      <fill>
        <patternFill>
          <bgColor theme="0" tint="-0.499984740745262"/>
        </patternFill>
      </fill>
    </dxf>
    <dxf>
      <fill>
        <patternFill patternType="solid">
          <bgColor theme="0" tint="-0.14999847407452621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7" tint="0.79998168889431442"/>
      </font>
      <fill>
        <patternFill>
          <bgColor rgb="FFFFC000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5" tint="0.79998168889431442"/>
      </font>
      <fill>
        <patternFill>
          <bgColor rgb="FFC00000"/>
        </patternFill>
      </fill>
    </dxf>
    <dxf>
      <font>
        <color theme="7" tint="0.79998168889431442"/>
      </font>
      <fill>
        <patternFill>
          <bgColor rgb="FFFFC000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5" tint="0.79998168889431442"/>
      </font>
      <fill>
        <patternFill>
          <bgColor rgb="FFC00000"/>
        </patternFill>
      </fill>
    </dxf>
    <dxf>
      <font>
        <color theme="7" tint="0.79998168889431442"/>
      </font>
      <fill>
        <patternFill>
          <bgColor rgb="FFFFC000"/>
        </patternFill>
      </fill>
    </dxf>
    <dxf>
      <font>
        <color theme="9" tint="0.79998168889431442"/>
      </font>
      <fill>
        <patternFill>
          <bgColor theme="9"/>
        </patternFill>
      </fill>
    </dxf>
    <dxf>
      <font>
        <color theme="5" tint="0.79998168889431442"/>
      </font>
      <fill>
        <patternFill>
          <bgColor rgb="FFC00000"/>
        </patternFill>
      </fill>
    </dxf>
    <dxf>
      <alignment horizontal="center" vertical="center" textRotation="0" indent="0" justifyLastLine="0" shrinkToFit="0" readingOrder="0"/>
    </dxf>
    <dxf>
      <numFmt numFmtId="164" formatCode="[$-F400]h:mm:ss\ AM/PM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1" formatCode="[h]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1" formatCode="[h]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1" formatCode="[h]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1" formatCode="[h]:mm:ss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[$-F400]h:mm:ss\ AM/PM"/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160FF"/>
      <color rgb="FFFF8585"/>
      <color rgb="FFD8CFFD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sheetMetadata" Target="metadata.xml"/><Relationship Id="rId10" Type="http://schemas.microsoft.com/office/2007/relationships/slicerCache" Target="slicerCaches/slicerCache5.xml"/><Relationship Id="rId4" Type="http://schemas.openxmlformats.org/officeDocument/2006/relationships/externalLink" Target="externalLinks/externalLink1.xml"/><Relationship Id="rId9" Type="http://schemas.microsoft.com/office/2007/relationships/slicerCache" Target="slicerCaches/slicerCache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62750776842547E-2"/>
          <c:y val="0.1032225053998342"/>
          <c:w val="0.9258887179332469"/>
          <c:h val="0.82093618929304235"/>
        </c:manualLayout>
      </c:layout>
      <c:lineChart>
        <c:grouping val="standard"/>
        <c:varyColors val="0"/>
        <c:ser>
          <c:idx val="22"/>
          <c:order val="0"/>
          <c:tx>
            <c:strRef>
              <c:f>BD_PROD!$O$6</c:f>
              <c:strCache>
                <c:ptCount val="1"/>
                <c:pt idx="0">
                  <c:v>Prod Média</c:v>
                </c:pt>
              </c:strCache>
            </c:strRef>
          </c:tx>
          <c:spPr>
            <a:ln w="22225" cap="rnd">
              <a:solidFill>
                <a:srgbClr val="00B050"/>
              </a:solidFill>
            </a:ln>
            <a:effectLst>
              <a:glow rad="139700">
                <a:schemeClr val="accent5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dPt>
            <c:idx val="9"/>
            <c:marker>
              <c:symbol val="circle"/>
              <c:size val="4"/>
              <c:spPr>
                <a:solidFill>
                  <a:schemeClr val="accent5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2225" cap="rnd">
                <a:solidFill>
                  <a:schemeClr val="accent5">
                    <a:lumMod val="80000"/>
                  </a:schemeClr>
                </a:solidFill>
              </a:ln>
              <a:effectLst>
                <a:glow rad="139700">
                  <a:schemeClr val="accent5">
                    <a:lumMod val="80000"/>
                    <a:satMod val="175000"/>
                    <a:alpha val="14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630E-479B-838C-4AF5A4714A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BD_PROD!$B$7:$B$26</c:f>
              <c:numCache>
                <c:formatCode>m/d/yyyy</c:formatCode>
                <c:ptCount val="2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  <c:pt idx="8">
                  <c:v>46065</c:v>
                </c:pt>
                <c:pt idx="9">
                  <c:v>46066</c:v>
                </c:pt>
                <c:pt idx="10">
                  <c:v>46069</c:v>
                </c:pt>
                <c:pt idx="11">
                  <c:v>46070</c:v>
                </c:pt>
                <c:pt idx="12">
                  <c:v>46071</c:v>
                </c:pt>
                <c:pt idx="13">
                  <c:v>46072</c:v>
                </c:pt>
                <c:pt idx="14">
                  <c:v>46073</c:v>
                </c:pt>
                <c:pt idx="15">
                  <c:v>46076</c:v>
                </c:pt>
                <c:pt idx="16">
                  <c:v>46077</c:v>
                </c:pt>
                <c:pt idx="17">
                  <c:v>46078</c:v>
                </c:pt>
                <c:pt idx="18">
                  <c:v>46079</c:v>
                </c:pt>
                <c:pt idx="19">
                  <c:v>46080</c:v>
                </c:pt>
              </c:numCache>
            </c:numRef>
          </c:cat>
          <c:val>
            <c:numRef>
              <c:f>BD_PROD!$O$7:$O$26</c:f>
              <c:numCache>
                <c:formatCode>[$-F400]h:mm:ss\ AM/PM</c:formatCode>
                <c:ptCount val="20"/>
                <c:pt idx="0">
                  <c:v>0.66006944444444438</c:v>
                </c:pt>
                <c:pt idx="1">
                  <c:v>0.58993055555555562</c:v>
                </c:pt>
                <c:pt idx="2">
                  <c:v>0.71944444444444444</c:v>
                </c:pt>
                <c:pt idx="3">
                  <c:v>0.75347222222222232</c:v>
                </c:pt>
                <c:pt idx="4">
                  <c:v>0.41215277777777781</c:v>
                </c:pt>
                <c:pt idx="5">
                  <c:v>0.734375</c:v>
                </c:pt>
                <c:pt idx="6">
                  <c:v>0.74548611111111107</c:v>
                </c:pt>
                <c:pt idx="7">
                  <c:v>0.75138888888888888</c:v>
                </c:pt>
                <c:pt idx="8">
                  <c:v>0.63090277777777781</c:v>
                </c:pt>
                <c:pt idx="9">
                  <c:v>0.41388888888888897</c:v>
                </c:pt>
                <c:pt idx="10">
                  <c:v>0.71249999999999991</c:v>
                </c:pt>
                <c:pt idx="11">
                  <c:v>0.75034722222222228</c:v>
                </c:pt>
                <c:pt idx="12">
                  <c:v>0.7548611111111112</c:v>
                </c:pt>
                <c:pt idx="13">
                  <c:v>0.61840277777777786</c:v>
                </c:pt>
                <c:pt idx="14">
                  <c:v>0.26076388888888891</c:v>
                </c:pt>
                <c:pt idx="15">
                  <c:v>0.7416666666666667</c:v>
                </c:pt>
                <c:pt idx="16">
                  <c:v>0.72569444444444453</c:v>
                </c:pt>
                <c:pt idx="17">
                  <c:v>0.73888888888888893</c:v>
                </c:pt>
                <c:pt idx="18">
                  <c:v>0.75381944444444449</c:v>
                </c:pt>
                <c:pt idx="19">
                  <c:v>0.42013888888888895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943-48C7-A026-8723495FBBB7}"/>
            </c:ext>
          </c:extLst>
        </c:ser>
        <c:ser>
          <c:idx val="27"/>
          <c:order val="1"/>
          <c:tx>
            <c:strRef>
              <c:f>BD_PROD!$AC$6</c:f>
              <c:strCache>
                <c:ptCount val="1"/>
                <c:pt idx="0">
                  <c:v>Carga Horária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  <a:lumOff val="40000"/>
                </a:schemeClr>
              </a:solidFill>
            </a:ln>
            <a:effectLst>
              <a:glow rad="139700">
                <a:schemeClr val="accent4">
                  <a:lumMod val="60000"/>
                  <a:lumOff val="4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60000"/>
                    <a:lumOff val="40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BD_PROD!$B$7:$B$26</c:f>
              <c:numCache>
                <c:formatCode>m/d/yyyy</c:formatCode>
                <c:ptCount val="2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  <c:pt idx="8">
                  <c:v>46065</c:v>
                </c:pt>
                <c:pt idx="9">
                  <c:v>46066</c:v>
                </c:pt>
                <c:pt idx="10">
                  <c:v>46069</c:v>
                </c:pt>
                <c:pt idx="11">
                  <c:v>46070</c:v>
                </c:pt>
                <c:pt idx="12">
                  <c:v>46071</c:v>
                </c:pt>
                <c:pt idx="13">
                  <c:v>46072</c:v>
                </c:pt>
                <c:pt idx="14">
                  <c:v>46073</c:v>
                </c:pt>
                <c:pt idx="15">
                  <c:v>46076</c:v>
                </c:pt>
                <c:pt idx="16">
                  <c:v>46077</c:v>
                </c:pt>
                <c:pt idx="17">
                  <c:v>46078</c:v>
                </c:pt>
                <c:pt idx="18">
                  <c:v>46079</c:v>
                </c:pt>
                <c:pt idx="19">
                  <c:v>46080</c:v>
                </c:pt>
              </c:numCache>
            </c:numRef>
          </c:cat>
          <c:val>
            <c:numRef>
              <c:f>BD_PROD!$AC$7:$AC$26</c:f>
              <c:numCache>
                <c:formatCode>[$-F400]h:mm:ss\ AM/PM</c:formatCode>
                <c:ptCount val="20"/>
                <c:pt idx="0">
                  <c:v>0.8184027777777777</c:v>
                </c:pt>
                <c:pt idx="1">
                  <c:v>0.85208333333333341</c:v>
                </c:pt>
                <c:pt idx="2">
                  <c:v>0.7895833333333333</c:v>
                </c:pt>
                <c:pt idx="3">
                  <c:v>0.83368055555555565</c:v>
                </c:pt>
                <c:pt idx="4">
                  <c:v>0.4861111111111111</c:v>
                </c:pt>
                <c:pt idx="5">
                  <c:v>0.85381944444444446</c:v>
                </c:pt>
                <c:pt idx="6">
                  <c:v>0.8159722222222221</c:v>
                </c:pt>
                <c:pt idx="7">
                  <c:v>0.84618055555555549</c:v>
                </c:pt>
                <c:pt idx="8">
                  <c:v>0.81770833333333337</c:v>
                </c:pt>
                <c:pt idx="9">
                  <c:v>0.48159722222222229</c:v>
                </c:pt>
                <c:pt idx="10">
                  <c:v>0.90555555555555545</c:v>
                </c:pt>
                <c:pt idx="11">
                  <c:v>0.83437499999999998</c:v>
                </c:pt>
                <c:pt idx="12">
                  <c:v>0.93055555555555558</c:v>
                </c:pt>
                <c:pt idx="13">
                  <c:v>0.82395833333333335</c:v>
                </c:pt>
                <c:pt idx="14">
                  <c:v>0.35659722222222223</c:v>
                </c:pt>
                <c:pt idx="15">
                  <c:v>0.82083333333333341</c:v>
                </c:pt>
                <c:pt idx="16">
                  <c:v>0.81875000000000009</c:v>
                </c:pt>
                <c:pt idx="17">
                  <c:v>0.84791666666666665</c:v>
                </c:pt>
                <c:pt idx="18">
                  <c:v>0.97916666666666674</c:v>
                </c:pt>
                <c:pt idx="19">
                  <c:v>0.48784722222222227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943-48C7-A026-8723495FBBB7}"/>
            </c:ext>
          </c:extLst>
        </c:ser>
        <c:ser>
          <c:idx val="1"/>
          <c:order val="3"/>
          <c:tx>
            <c:strRef>
              <c:f>BD_PROD!$AA$6</c:f>
              <c:strCache>
                <c:ptCount val="1"/>
                <c:pt idx="0">
                  <c:v>Média de Start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BD_PROD!$AA$7:$AA$26</c:f>
              <c:numCache>
                <c:formatCode>[$-F400]h:mm:ss\ AM/PM</c:formatCode>
                <c:ptCount val="20"/>
                <c:pt idx="0">
                  <c:v>0.13576388888888891</c:v>
                </c:pt>
                <c:pt idx="1">
                  <c:v>6.6666666666666652E-2</c:v>
                </c:pt>
                <c:pt idx="2">
                  <c:v>7.0138888888888862E-2</c:v>
                </c:pt>
                <c:pt idx="3">
                  <c:v>7.0138888888888862E-2</c:v>
                </c:pt>
                <c:pt idx="4">
                  <c:v>7.0486111111111083E-2</c:v>
                </c:pt>
                <c:pt idx="5">
                  <c:v>7.7777777777777779E-2</c:v>
                </c:pt>
                <c:pt idx="6">
                  <c:v>7.0486111111111083E-2</c:v>
                </c:pt>
                <c:pt idx="7">
                  <c:v>6.8749999999999978E-2</c:v>
                </c:pt>
                <c:pt idx="8">
                  <c:v>6.7013888888888873E-2</c:v>
                </c:pt>
                <c:pt idx="9">
                  <c:v>6.7708333333333315E-2</c:v>
                </c:pt>
                <c:pt idx="10">
                  <c:v>8.9583333333333348E-2</c:v>
                </c:pt>
                <c:pt idx="11">
                  <c:v>7.1874999999999967E-2</c:v>
                </c:pt>
                <c:pt idx="12">
                  <c:v>6.8055555555555536E-2</c:v>
                </c:pt>
                <c:pt idx="13">
                  <c:v>7.4999999999999956E-2</c:v>
                </c:pt>
                <c:pt idx="14">
                  <c:v>9.5833333333333326E-2</c:v>
                </c:pt>
                <c:pt idx="15">
                  <c:v>7.7083333333333337E-2</c:v>
                </c:pt>
                <c:pt idx="16">
                  <c:v>7.5694444444444398E-2</c:v>
                </c:pt>
                <c:pt idx="17">
                  <c:v>6.8055555555555536E-2</c:v>
                </c:pt>
                <c:pt idx="18">
                  <c:v>6.7361111111111094E-2</c:v>
                </c:pt>
                <c:pt idx="19">
                  <c:v>6.7708333333333315E-2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7C-49EB-A57B-9B9BC1D28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5236720"/>
        <c:axId val="1635209840"/>
        <c:extLst>
          <c:ext xmlns:c15="http://schemas.microsoft.com/office/drawing/2012/chart" uri="{02D57815-91ED-43cb-92C2-25804820EDAC}">
            <c15:filteredLineSeries>
              <c15:ser>
                <c:idx val="0"/>
                <c:order val="2"/>
                <c:tx>
                  <c:v>Tempo Parado</c:v>
                </c:tx>
                <c:spPr>
                  <a:ln w="22225" cap="rnd">
                    <a:solidFill>
                      <a:srgbClr val="FF0000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solidFill>
                        <a:srgbClr val="FF0000"/>
                      </a:solidFill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dPt>
                  <c:idx val="9"/>
                  <c:marker>
                    <c:symbol val="circle"/>
                    <c:size val="4"/>
                    <c:spPr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n>
                        <a:solidFill>
                          <a:srgbClr val="FF0000"/>
                        </a:solidFill>
                      </a:ln>
                      <a:effectLst>
                        <a:glow rad="63500">
                          <a:schemeClr val="accent1">
                            <a:satMod val="175000"/>
                            <a:alpha val="25000"/>
                          </a:schemeClr>
                        </a:glow>
                      </a:effectLst>
                    </c:spPr>
                  </c:marker>
                  <c:bubble3D val="0"/>
                  <c:spPr>
                    <a:ln w="22225" cap="rnd">
                      <a:solidFill>
                        <a:schemeClr val="accent1"/>
                      </a:solidFill>
                    </a:ln>
                    <a:effectLst>
                      <a:glow rad="139700">
                        <a:schemeClr val="accent1">
                          <a:satMod val="175000"/>
                          <a:alpha val="14000"/>
                        </a:schemeClr>
                      </a:glo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3-630E-479B-838C-4AF5A4714AA3}"/>
                    </c:ext>
                  </c:extLst>
                </c:dPt>
                <c:dLbls>
                  <c:dLbl>
                    <c:idx val="0"/>
                    <c:layout>
                      <c:manualLayout>
                        <c:x val="-2.2955031967979357E-2"/>
                        <c:y val="-2.3269310340462194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237C-49EB-A57B-9B9BC1D28DF3}"/>
                      </c:ext>
                    </c:extLst>
                  </c:dLbl>
                  <c:dLbl>
                    <c:idx val="1"/>
                    <c:layout>
                      <c:manualLayout>
                        <c:x val="-2.2955031967979357E-2"/>
                        <c:y val="-3.899547295645063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237C-49EB-A57B-9B9BC1D28DF3}"/>
                      </c:ext>
                    </c:extLst>
                  </c:dLbl>
                  <c:dLbl>
                    <c:idx val="2"/>
                    <c:layout>
                      <c:manualLayout>
                        <c:x val="-3.305369239382476E-2"/>
                        <c:y val="1.177635432072459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237C-49EB-A57B-9B9BC1D28DF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0">
                      <a:spAutoFit/>
                    </a:bodyPr>
                    <a:lstStyle/>
                    <a:p>
                      <a:pPr algn="ctr">
                        <a:defRPr lang="en-US" sz="12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BD_PROD!$V$7:$V$26</c15:sqref>
                        </c15:formulaRef>
                      </c:ext>
                    </c:extLst>
                    <c:numCache>
                      <c:formatCode>[$-F400]h:mm:ss\ AM/PM</c:formatCode>
                      <c:ptCount val="20"/>
                      <c:pt idx="0">
                        <c:v>2.2569444444444444E-2</c:v>
                      </c:pt>
                      <c:pt idx="1">
                        <c:v>0.19548611111111111</c:v>
                      </c:pt>
                      <c:pt idx="2">
                        <c:v>0</c:v>
                      </c:pt>
                      <c:pt idx="3">
                        <c:v>1.0069444444444443E-2</c:v>
                      </c:pt>
                      <c:pt idx="4">
                        <c:v>3.472222222222222E-3</c:v>
                      </c:pt>
                      <c:pt idx="5">
                        <c:v>4.1666666666666664E-2</c:v>
                      </c:pt>
                      <c:pt idx="6">
                        <c:v>0</c:v>
                      </c:pt>
                      <c:pt idx="7">
                        <c:v>2.6041666666666668E-2</c:v>
                      </c:pt>
                      <c:pt idx="8">
                        <c:v>0.11979166666666667</c:v>
                      </c:pt>
                      <c:pt idx="9">
                        <c:v>0</c:v>
                      </c:pt>
                      <c:pt idx="10">
                        <c:v>0.10347222222222222</c:v>
                      </c:pt>
                      <c:pt idx="11">
                        <c:v>1.2152777777777778E-2</c:v>
                      </c:pt>
                      <c:pt idx="12">
                        <c:v>0.1076388888888889</c:v>
                      </c:pt>
                      <c:pt idx="13">
                        <c:v>0.13055555555555556</c:v>
                      </c:pt>
                      <c:pt idx="14">
                        <c:v>0</c:v>
                      </c:pt>
                      <c:pt idx="15">
                        <c:v>2.0833333333333333E-3</c:v>
                      </c:pt>
                      <c:pt idx="16">
                        <c:v>1.7361111111111112E-2</c:v>
                      </c:pt>
                      <c:pt idx="17">
                        <c:v>4.0972222222222215E-2</c:v>
                      </c:pt>
                      <c:pt idx="18">
                        <c:v>0.1579861111111111</c:v>
                      </c:pt>
                      <c:pt idx="1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F-3943-48C7-A026-8723495FBBB7}"/>
                  </c:ext>
                </c:extLst>
              </c15:ser>
            </c15:filteredLineSeries>
          </c:ext>
        </c:extLst>
      </c:lineChart>
      <c:catAx>
        <c:axId val="163523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5209840"/>
        <c:crosses val="autoZero"/>
        <c:auto val="0"/>
        <c:lblAlgn val="ctr"/>
        <c:lblOffset val="0"/>
        <c:noMultiLvlLbl val="0"/>
      </c:catAx>
      <c:valAx>
        <c:axId val="1635209840"/>
        <c:scaling>
          <c:orientation val="minMax"/>
        </c:scaling>
        <c:delete val="0"/>
        <c:axPos val="l"/>
        <c:numFmt formatCode="[$-F400]h:mm:ss\ AM/P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523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BD_PROD!$C$6</c:f>
              <c:strCache>
                <c:ptCount val="1"/>
                <c:pt idx="0">
                  <c:v>Meta da Produção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9525" cap="flat" cmpd="sng" algn="ctr">
              <a:solidFill>
                <a:srgbClr val="002060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1"/>
              <c:layout>
                <c:manualLayout>
                  <c:x val="-2.2666805783356416E-3"/>
                  <c:y val="3.78860782325155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00-4B2E-8C82-BAF26C4F9093}"/>
                </c:ext>
              </c:extLst>
            </c:dLbl>
            <c:dLbl>
              <c:idx val="3"/>
              <c:layout>
                <c:manualLayout>
                  <c:x val="-4.6603275610915731E-3"/>
                  <c:y val="1.6459998639133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7C-4EA7-A8F8-F1802CAFB94A}"/>
                </c:ext>
              </c:extLst>
            </c:dLbl>
            <c:dLbl>
              <c:idx val="5"/>
              <c:layout>
                <c:manualLayout>
                  <c:x val="-3.8836063009096444E-3"/>
                  <c:y val="8.22999931956693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D34-4E08-8052-E0B2CAA3A216}"/>
                </c:ext>
              </c:extLst>
            </c:dLbl>
            <c:dLbl>
              <c:idx val="6"/>
              <c:layout>
                <c:manualLayout>
                  <c:x val="0"/>
                  <c:y val="-1.0973332426089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3A-428D-8B97-20D082613668}"/>
                </c:ext>
              </c:extLst>
            </c:dLbl>
            <c:dLbl>
              <c:idx val="7"/>
              <c:layout>
                <c:manualLayout>
                  <c:x val="0"/>
                  <c:y val="-1.37166655326116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8C3-4373-8ABF-2FD89AC7C5B9}"/>
                </c:ext>
              </c:extLst>
            </c:dLbl>
            <c:dLbl>
              <c:idx val="11"/>
              <c:layout>
                <c:manualLayout>
                  <c:x val="-3.8836063009095308E-3"/>
                  <c:y val="8.229999319566985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C3-4373-8ABF-2FD89AC7C5B9}"/>
                </c:ext>
              </c:extLst>
            </c:dLbl>
            <c:dLbl>
              <c:idx val="15"/>
              <c:layout>
                <c:manualLayout>
                  <c:x val="-1.553442520363971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3B-442B-A8C3-98DA7F1BA5E6}"/>
                </c:ext>
              </c:extLst>
            </c:dLbl>
            <c:dLbl>
              <c:idx val="16"/>
              <c:layout>
                <c:manualLayout>
                  <c:x val="-7.7672126018192887E-3"/>
                  <c:y val="8.22999931956693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C3-4373-8ABF-2FD89AC7C5B9}"/>
                </c:ext>
              </c:extLst>
            </c:dLbl>
            <c:dLbl>
              <c:idx val="17"/>
              <c:layout>
                <c:manualLayout>
                  <c:x val="-6.213770081455545E-3"/>
                  <c:y val="-1.37166655326116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8C3-4373-8ABF-2FD89AC7C5B9}"/>
                </c:ext>
              </c:extLst>
            </c:dLbl>
            <c:dLbl>
              <c:idx val="18"/>
              <c:layout>
                <c:manualLayout>
                  <c:x val="-6.213770081455545E-3"/>
                  <c:y val="2.74333310652232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C3-4373-8ABF-2FD89AC7C5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lIns="39600" tIns="19050" rIns="38100" bIns="19050" anchor="t" anchorCtr="0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BD_PROD!$B$7:$B$26</c:f>
              <c:numCache>
                <c:formatCode>m/d/yyyy</c:formatCode>
                <c:ptCount val="2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  <c:pt idx="8">
                  <c:v>46065</c:v>
                </c:pt>
                <c:pt idx="9">
                  <c:v>46066</c:v>
                </c:pt>
                <c:pt idx="10">
                  <c:v>46069</c:v>
                </c:pt>
                <c:pt idx="11">
                  <c:v>46070</c:v>
                </c:pt>
                <c:pt idx="12">
                  <c:v>46071</c:v>
                </c:pt>
                <c:pt idx="13">
                  <c:v>46072</c:v>
                </c:pt>
                <c:pt idx="14">
                  <c:v>46073</c:v>
                </c:pt>
                <c:pt idx="15">
                  <c:v>46076</c:v>
                </c:pt>
                <c:pt idx="16">
                  <c:v>46077</c:v>
                </c:pt>
                <c:pt idx="17">
                  <c:v>46078</c:v>
                </c:pt>
                <c:pt idx="18">
                  <c:v>46079</c:v>
                </c:pt>
                <c:pt idx="19">
                  <c:v>46080</c:v>
                </c:pt>
              </c:numCache>
            </c:numRef>
          </c:cat>
          <c:val>
            <c:numRef>
              <c:f>BD_PROD!$C$7:$C$26</c:f>
              <c:numCache>
                <c:formatCode>#,##0</c:formatCode>
                <c:ptCount val="20"/>
                <c:pt idx="0">
                  <c:v>61061</c:v>
                </c:pt>
                <c:pt idx="1">
                  <c:v>58058</c:v>
                </c:pt>
                <c:pt idx="2">
                  <c:v>57921</c:v>
                </c:pt>
                <c:pt idx="3">
                  <c:v>66277</c:v>
                </c:pt>
                <c:pt idx="4">
                  <c:v>35743</c:v>
                </c:pt>
                <c:pt idx="5">
                  <c:v>56282</c:v>
                </c:pt>
                <c:pt idx="6">
                  <c:v>54542</c:v>
                </c:pt>
                <c:pt idx="7">
                  <c:v>54542</c:v>
                </c:pt>
                <c:pt idx="8">
                  <c:v>54542</c:v>
                </c:pt>
                <c:pt idx="9">
                  <c:v>30195</c:v>
                </c:pt>
                <c:pt idx="10">
                  <c:v>61061</c:v>
                </c:pt>
                <c:pt idx="11">
                  <c:v>61061</c:v>
                </c:pt>
                <c:pt idx="12">
                  <c:v>61251</c:v>
                </c:pt>
                <c:pt idx="13">
                  <c:v>61427</c:v>
                </c:pt>
                <c:pt idx="14">
                  <c:v>37281</c:v>
                </c:pt>
                <c:pt idx="15">
                  <c:v>45636</c:v>
                </c:pt>
                <c:pt idx="16">
                  <c:v>58045</c:v>
                </c:pt>
                <c:pt idx="17">
                  <c:v>60558</c:v>
                </c:pt>
                <c:pt idx="18">
                  <c:v>56717</c:v>
                </c:pt>
                <c:pt idx="19">
                  <c:v>30295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6-4CA8-B99E-B0E908B37EDC}"/>
            </c:ext>
          </c:extLst>
        </c:ser>
        <c:ser>
          <c:idx val="1"/>
          <c:order val="1"/>
          <c:tx>
            <c:strRef>
              <c:f>BD_PROD!$M$6</c:f>
              <c:strCache>
                <c:ptCount val="1"/>
                <c:pt idx="0">
                  <c:v>Qtd Produzida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rgbClr val="00B050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3"/>
              <c:layout>
                <c:manualLayout>
                  <c:x val="5.4370488212735022E-3"/>
                  <c:y val="-8.229999319566985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7C-4EA7-A8F8-F1802CAFB94A}"/>
                </c:ext>
              </c:extLst>
            </c:dLbl>
            <c:dLbl>
              <c:idx val="5"/>
              <c:layout>
                <c:manualLayout>
                  <c:x val="6.9904913416373032E-3"/>
                  <c:y val="-2.74333310652237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34-4E08-8052-E0B2CAA3A216}"/>
                </c:ext>
              </c:extLst>
            </c:dLbl>
            <c:dLbl>
              <c:idx val="6"/>
              <c:layout>
                <c:manualLayout>
                  <c:x val="5.4370488212735022E-3"/>
                  <c:y val="5.48666621304460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EC-4609-86C2-F4132AFE80E5}"/>
                </c:ext>
              </c:extLst>
            </c:dLbl>
            <c:dLbl>
              <c:idx val="7"/>
              <c:layout>
                <c:manualLayout>
                  <c:x val="6.2137700814553741E-3"/>
                  <c:y val="1.37166655326115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C3-4373-8ABF-2FD89AC7C5B9}"/>
                </c:ext>
              </c:extLst>
            </c:dLbl>
            <c:dLbl>
              <c:idx val="11"/>
              <c:layout>
                <c:manualLayout>
                  <c:x val="8.5439338620012188E-3"/>
                  <c:y val="2.743333106522328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C3-4373-8ABF-2FD89AC7C5B9}"/>
                </c:ext>
              </c:extLst>
            </c:dLbl>
            <c:dLbl>
              <c:idx val="15"/>
              <c:layout>
                <c:manualLayout>
                  <c:x val="7.7672126018192887E-3"/>
                  <c:y val="2.74333310652237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C3-4373-8ABF-2FD89AC7C5B9}"/>
                </c:ext>
              </c:extLst>
            </c:dLbl>
            <c:dLbl>
              <c:idx val="16"/>
              <c:layout>
                <c:manualLayout>
                  <c:x val="5.4370488212735022E-3"/>
                  <c:y val="1.09733324260892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8C3-4373-8ABF-2FD89AC7C5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BD_PROD!$B$7:$B$26</c:f>
              <c:numCache>
                <c:formatCode>m/d/yyyy</c:formatCode>
                <c:ptCount val="2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  <c:pt idx="8">
                  <c:v>46065</c:v>
                </c:pt>
                <c:pt idx="9">
                  <c:v>46066</c:v>
                </c:pt>
                <c:pt idx="10">
                  <c:v>46069</c:v>
                </c:pt>
                <c:pt idx="11">
                  <c:v>46070</c:v>
                </c:pt>
                <c:pt idx="12">
                  <c:v>46071</c:v>
                </c:pt>
                <c:pt idx="13">
                  <c:v>46072</c:v>
                </c:pt>
                <c:pt idx="14">
                  <c:v>46073</c:v>
                </c:pt>
                <c:pt idx="15">
                  <c:v>46076</c:v>
                </c:pt>
                <c:pt idx="16">
                  <c:v>46077</c:v>
                </c:pt>
                <c:pt idx="17">
                  <c:v>46078</c:v>
                </c:pt>
                <c:pt idx="18">
                  <c:v>46079</c:v>
                </c:pt>
                <c:pt idx="19">
                  <c:v>46080</c:v>
                </c:pt>
              </c:numCache>
            </c:numRef>
          </c:cat>
          <c:val>
            <c:numRef>
              <c:f>BD_PROD!$M$7:$M$26</c:f>
              <c:numCache>
                <c:formatCode>#,##0</c:formatCode>
                <c:ptCount val="20"/>
                <c:pt idx="0">
                  <c:v>43500</c:v>
                </c:pt>
                <c:pt idx="1">
                  <c:v>44500</c:v>
                </c:pt>
                <c:pt idx="2">
                  <c:v>51300</c:v>
                </c:pt>
                <c:pt idx="3">
                  <c:v>67150</c:v>
                </c:pt>
                <c:pt idx="4">
                  <c:v>33700</c:v>
                </c:pt>
                <c:pt idx="5">
                  <c:v>46800</c:v>
                </c:pt>
                <c:pt idx="6">
                  <c:v>52350</c:v>
                </c:pt>
                <c:pt idx="7">
                  <c:v>53150</c:v>
                </c:pt>
                <c:pt idx="8">
                  <c:v>46250</c:v>
                </c:pt>
                <c:pt idx="9">
                  <c:v>30150</c:v>
                </c:pt>
                <c:pt idx="10">
                  <c:v>46200</c:v>
                </c:pt>
                <c:pt idx="11">
                  <c:v>59950</c:v>
                </c:pt>
                <c:pt idx="12">
                  <c:v>47650</c:v>
                </c:pt>
                <c:pt idx="13">
                  <c:v>54050</c:v>
                </c:pt>
                <c:pt idx="14">
                  <c:v>33750</c:v>
                </c:pt>
                <c:pt idx="15">
                  <c:v>43500</c:v>
                </c:pt>
                <c:pt idx="16">
                  <c:v>58450</c:v>
                </c:pt>
                <c:pt idx="17">
                  <c:v>69750</c:v>
                </c:pt>
                <c:pt idx="18">
                  <c:v>60800</c:v>
                </c:pt>
                <c:pt idx="19">
                  <c:v>33100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6-4CA8-B99E-B0E908B37E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58103200"/>
        <c:axId val="1635189680"/>
      </c:barChart>
      <c:catAx>
        <c:axId val="1858103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5189680"/>
        <c:crosses val="autoZero"/>
        <c:auto val="0"/>
        <c:lblAlgn val="ctr"/>
        <c:lblOffset val="100"/>
        <c:noMultiLvlLbl val="0"/>
      </c:catAx>
      <c:valAx>
        <c:axId val="163518968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810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306981884645754E-2"/>
          <c:y val="0.12531768601132762"/>
          <c:w val="0.94120655599912595"/>
          <c:h val="0.7683475323933201"/>
        </c:manualLayout>
      </c:layout>
      <c:lineChart>
        <c:grouping val="standard"/>
        <c:varyColors val="0"/>
        <c:ser>
          <c:idx val="1"/>
          <c:order val="1"/>
          <c:tx>
            <c:v>Prod. Ensaque 1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2"/>
              <c:layout>
                <c:manualLayout>
                  <c:x val="-2.4581188533608838E-2"/>
                  <c:y val="2.2653706147896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0C-4F1D-B272-ED517ED148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BD_PROD!$B$7:$B$26</c:f>
              <c:numCache>
                <c:formatCode>m/d/yyyy</c:formatCode>
                <c:ptCount val="2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  <c:pt idx="8">
                  <c:v>46065</c:v>
                </c:pt>
                <c:pt idx="9">
                  <c:v>46066</c:v>
                </c:pt>
                <c:pt idx="10">
                  <c:v>46069</c:v>
                </c:pt>
                <c:pt idx="11">
                  <c:v>46070</c:v>
                </c:pt>
                <c:pt idx="12">
                  <c:v>46071</c:v>
                </c:pt>
                <c:pt idx="13">
                  <c:v>46072</c:v>
                </c:pt>
                <c:pt idx="14">
                  <c:v>46073</c:v>
                </c:pt>
                <c:pt idx="15">
                  <c:v>46076</c:v>
                </c:pt>
                <c:pt idx="16">
                  <c:v>46077</c:v>
                </c:pt>
                <c:pt idx="17">
                  <c:v>46078</c:v>
                </c:pt>
                <c:pt idx="18">
                  <c:v>46079</c:v>
                </c:pt>
                <c:pt idx="19">
                  <c:v>46080</c:v>
                </c:pt>
              </c:numCache>
            </c:numRef>
          </c:cat>
          <c:val>
            <c:numRef>
              <c:f>BD_PROD!$W$7:$W$26</c:f>
              <c:numCache>
                <c:formatCode>[h]:mm:ss</c:formatCode>
                <c:ptCount val="20"/>
                <c:pt idx="0">
                  <c:v>0.64930555555555558</c:v>
                </c:pt>
                <c:pt idx="1">
                  <c:v>0.43680555555555556</c:v>
                </c:pt>
                <c:pt idx="2">
                  <c:v>0.71388888888888891</c:v>
                </c:pt>
                <c:pt idx="3">
                  <c:v>0.77777777777777779</c:v>
                </c:pt>
                <c:pt idx="4">
                  <c:v>0.40972222222222232</c:v>
                </c:pt>
                <c:pt idx="5">
                  <c:v>0.74652777777777779</c:v>
                </c:pt>
                <c:pt idx="6">
                  <c:v>0.74930555555555556</c:v>
                </c:pt>
                <c:pt idx="7">
                  <c:v>0.75208333333333333</c:v>
                </c:pt>
                <c:pt idx="8">
                  <c:v>0.51041666666666674</c:v>
                </c:pt>
                <c:pt idx="9">
                  <c:v>0.41805555555555562</c:v>
                </c:pt>
                <c:pt idx="10">
                  <c:v>0.71111111111111103</c:v>
                </c:pt>
                <c:pt idx="11">
                  <c:v>0.76527777777777783</c:v>
                </c:pt>
                <c:pt idx="12">
                  <c:v>0.74305555555555558</c:v>
                </c:pt>
                <c:pt idx="13">
                  <c:v>0.71875</c:v>
                </c:pt>
                <c:pt idx="14">
                  <c:v>0</c:v>
                </c:pt>
                <c:pt idx="15">
                  <c:v>0.73333333333333328</c:v>
                </c:pt>
                <c:pt idx="16">
                  <c:v>0.7236111111111112</c:v>
                </c:pt>
                <c:pt idx="17">
                  <c:v>0.76041666666666663</c:v>
                </c:pt>
                <c:pt idx="18">
                  <c:v>0.76180555555555562</c:v>
                </c:pt>
                <c:pt idx="19">
                  <c:v>0.52152777777777781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6A-42B1-B8F8-F77055F3BA46}"/>
            </c:ext>
          </c:extLst>
        </c:ser>
        <c:ser>
          <c:idx val="2"/>
          <c:order val="2"/>
          <c:tx>
            <c:v>Prod. Ensaque 2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6000" tIns="0" rIns="38100" bIns="288000" anchor="t" anchorCtr="0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BD_PROD!$B$7:$B$26</c:f>
              <c:numCache>
                <c:formatCode>m/d/yyyy</c:formatCode>
                <c:ptCount val="2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  <c:pt idx="8">
                  <c:v>46065</c:v>
                </c:pt>
                <c:pt idx="9">
                  <c:v>46066</c:v>
                </c:pt>
                <c:pt idx="10">
                  <c:v>46069</c:v>
                </c:pt>
                <c:pt idx="11">
                  <c:v>46070</c:v>
                </c:pt>
                <c:pt idx="12">
                  <c:v>46071</c:v>
                </c:pt>
                <c:pt idx="13">
                  <c:v>46072</c:v>
                </c:pt>
                <c:pt idx="14">
                  <c:v>46073</c:v>
                </c:pt>
                <c:pt idx="15">
                  <c:v>46076</c:v>
                </c:pt>
                <c:pt idx="16">
                  <c:v>46077</c:v>
                </c:pt>
                <c:pt idx="17">
                  <c:v>46078</c:v>
                </c:pt>
                <c:pt idx="18">
                  <c:v>46079</c:v>
                </c:pt>
                <c:pt idx="19">
                  <c:v>46080</c:v>
                </c:pt>
              </c:numCache>
            </c:numRef>
          </c:cat>
          <c:val>
            <c:numRef>
              <c:f>BD_PROD!$X$7:$X$26</c:f>
              <c:numCache>
                <c:formatCode>[h]:mm:ss</c:formatCode>
                <c:ptCount val="20"/>
                <c:pt idx="0">
                  <c:v>0.67083333333333328</c:v>
                </c:pt>
                <c:pt idx="1">
                  <c:v>0.74305555555555558</c:v>
                </c:pt>
                <c:pt idx="2">
                  <c:v>0.72499999999999998</c:v>
                </c:pt>
                <c:pt idx="3">
                  <c:v>0.72916666666666674</c:v>
                </c:pt>
                <c:pt idx="4">
                  <c:v>0.4145833333333333</c:v>
                </c:pt>
                <c:pt idx="5">
                  <c:v>0.72222222222222221</c:v>
                </c:pt>
                <c:pt idx="6">
                  <c:v>0.7416666666666667</c:v>
                </c:pt>
                <c:pt idx="7">
                  <c:v>0.75069444444444444</c:v>
                </c:pt>
                <c:pt idx="8">
                  <c:v>0.75138888888888888</c:v>
                </c:pt>
                <c:pt idx="9">
                  <c:v>0.40972222222222232</c:v>
                </c:pt>
                <c:pt idx="10">
                  <c:v>0.71388888888888891</c:v>
                </c:pt>
                <c:pt idx="11">
                  <c:v>0.73541666666666672</c:v>
                </c:pt>
                <c:pt idx="12">
                  <c:v>0.76666666666666672</c:v>
                </c:pt>
                <c:pt idx="13">
                  <c:v>0.5180555555555556</c:v>
                </c:pt>
                <c:pt idx="14">
                  <c:v>0.52152777777777781</c:v>
                </c:pt>
                <c:pt idx="15">
                  <c:v>0.75</c:v>
                </c:pt>
                <c:pt idx="16">
                  <c:v>0.72777777777777786</c:v>
                </c:pt>
                <c:pt idx="17">
                  <c:v>0.71736111111111112</c:v>
                </c:pt>
                <c:pt idx="18">
                  <c:v>0.74583333333333335</c:v>
                </c:pt>
                <c:pt idx="19">
                  <c:v>0.31875000000000009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6A-42B1-B8F8-F77055F3B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507568"/>
        <c:axId val="12405253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Prod. Média</c:v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dLbls>
                  <c:dLbl>
                    <c:idx val="5"/>
                    <c:layout>
                      <c:manualLayout>
                        <c:x val="-2.3144727149942212E-2"/>
                        <c:y val="2.384090758833588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4C35-46AD-B850-3D3562E532A0}"/>
                      </c:ext>
                    </c:extLst>
                  </c:dLbl>
                  <c:dLbl>
                    <c:idx val="6"/>
                    <c:layout>
                      <c:manualLayout>
                        <c:x val="-2.3144727149942212E-2"/>
                        <c:y val="-2.938307200428012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CB62-44C0-B05D-07D88CC41FD2}"/>
                      </c:ext>
                    </c:extLst>
                  </c:dLbl>
                  <c:dLbl>
                    <c:idx val="7"/>
                    <c:layout>
                      <c:manualLayout>
                        <c:x val="-2.4702964140979222E-2"/>
                        <c:y val="1.552766096441952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4C35-46AD-B850-3D3562E532A0}"/>
                      </c:ext>
                    </c:extLst>
                  </c:dLbl>
                  <c:dLbl>
                    <c:idx val="8"/>
                    <c:layout>
                      <c:manualLayout>
                        <c:x val="-2.1532197255871043E-2"/>
                        <c:y val="-5.709389408400131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4C35-46AD-B850-3D3562E532A0}"/>
                      </c:ext>
                    </c:extLst>
                  </c:dLbl>
                  <c:dLbl>
                    <c:idx val="13"/>
                    <c:layout>
                      <c:manualLayout>
                        <c:x val="-2.2365608654423767E-2"/>
                        <c:y val="4.0467400836168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4C35-46AD-B850-3D3562E532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BD_PROD!$B$7:$B$26</c15:sqref>
                        </c15:formulaRef>
                      </c:ext>
                    </c:extLst>
                    <c:numCache>
                      <c:formatCode>m/d/yyyy</c:formatCode>
                      <c:ptCount val="20"/>
                      <c:pt idx="0">
                        <c:v>46055</c:v>
                      </c:pt>
                      <c:pt idx="1">
                        <c:v>46056</c:v>
                      </c:pt>
                      <c:pt idx="2">
                        <c:v>46057</c:v>
                      </c:pt>
                      <c:pt idx="3">
                        <c:v>46058</c:v>
                      </c:pt>
                      <c:pt idx="4">
                        <c:v>46059</c:v>
                      </c:pt>
                      <c:pt idx="5">
                        <c:v>46062</c:v>
                      </c:pt>
                      <c:pt idx="6">
                        <c:v>46063</c:v>
                      </c:pt>
                      <c:pt idx="7">
                        <c:v>46064</c:v>
                      </c:pt>
                      <c:pt idx="8">
                        <c:v>46065</c:v>
                      </c:pt>
                      <c:pt idx="9">
                        <c:v>46066</c:v>
                      </c:pt>
                      <c:pt idx="10">
                        <c:v>46069</c:v>
                      </c:pt>
                      <c:pt idx="11">
                        <c:v>46070</c:v>
                      </c:pt>
                      <c:pt idx="12">
                        <c:v>46071</c:v>
                      </c:pt>
                      <c:pt idx="13">
                        <c:v>46072</c:v>
                      </c:pt>
                      <c:pt idx="14">
                        <c:v>46073</c:v>
                      </c:pt>
                      <c:pt idx="15">
                        <c:v>46076</c:v>
                      </c:pt>
                      <c:pt idx="16">
                        <c:v>46077</c:v>
                      </c:pt>
                      <c:pt idx="17">
                        <c:v>46078</c:v>
                      </c:pt>
                      <c:pt idx="18">
                        <c:v>46079</c:v>
                      </c:pt>
                      <c:pt idx="19">
                        <c:v>46080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[1]BD_PROD!$X$3:$X$19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0.37812500000000004</c:v>
                      </c:pt>
                      <c:pt idx="1">
                        <c:v>0.30347222222222225</c:v>
                      </c:pt>
                      <c:pt idx="2">
                        <c:v>0.36076388888888888</c:v>
                      </c:pt>
                      <c:pt idx="3">
                        <c:v>0.37222222222222223</c:v>
                      </c:pt>
                      <c:pt idx="4">
                        <c:v>0.33958333333333335</c:v>
                      </c:pt>
                      <c:pt idx="5">
                        <c:v>0.34722222222222221</c:v>
                      </c:pt>
                      <c:pt idx="6">
                        <c:v>0.38437500000000002</c:v>
                      </c:pt>
                      <c:pt idx="7">
                        <c:v>0.32673611111111112</c:v>
                      </c:pt>
                      <c:pt idx="8">
                        <c:v>0.34479166666666672</c:v>
                      </c:pt>
                      <c:pt idx="9">
                        <c:v>0.37430555555555556</c:v>
                      </c:pt>
                      <c:pt idx="10">
                        <c:v>0.29340277777777779</c:v>
                      </c:pt>
                      <c:pt idx="11">
                        <c:v>0.34548611111111105</c:v>
                      </c:pt>
                      <c:pt idx="12">
                        <c:v>0.29652777777777783</c:v>
                      </c:pt>
                      <c:pt idx="13">
                        <c:v>0.24166666666666667</c:v>
                      </c:pt>
                      <c:pt idx="14">
                        <c:v>0.3888888888888889</c:v>
                      </c:pt>
                      <c:pt idx="15">
                        <c:v>0.36527777777777776</c:v>
                      </c:pt>
                      <c:pt idx="16">
                        <c:v>0.29270833333333335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796A-42B1-B8F8-F77055F3BA46}"/>
                  </c:ext>
                </c:extLst>
              </c15:ser>
            </c15:filteredLineSeries>
          </c:ext>
        </c:extLst>
      </c:lineChart>
      <c:catAx>
        <c:axId val="12405075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0525328"/>
        <c:crosses val="autoZero"/>
        <c:auto val="0"/>
        <c:lblAlgn val="ctr"/>
        <c:lblOffset val="100"/>
        <c:noMultiLvlLbl val="0"/>
      </c:catAx>
      <c:valAx>
        <c:axId val="12405253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h]:mm:ss" sourceLinked="1"/>
        <c:majorTickMark val="none"/>
        <c:minorTickMark val="none"/>
        <c:tickLblPos val="nextTo"/>
        <c:crossAx val="12405075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059779017890488"/>
          <c:y val="3.2374020813327173E-2"/>
          <c:w val="0.18804419642190237"/>
          <c:h val="8.6446647140288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635390259564077E-2"/>
          <c:y val="0.12531755728655147"/>
          <c:w val="0.94120655599912595"/>
          <c:h val="0.7683475323933201"/>
        </c:manualLayout>
      </c:layout>
      <c:lineChart>
        <c:grouping val="standard"/>
        <c:varyColors val="0"/>
        <c:ser>
          <c:idx val="1"/>
          <c:order val="1"/>
          <c:tx>
            <c:v>Prod. Forno 1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rgbClr val="FFFF00"/>
                </a:solidFill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6"/>
              <c:layout>
                <c:manualLayout>
                  <c:x val="-2.0018344346263914E-2"/>
                  <c:y val="-4.01220955034650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98-4CDF-A6DF-42B07977B3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0" rIns="0" bIns="19050" anchor="b" anchorCtr="0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BD_PROD!$B$7:$B$26</c:f>
              <c:numCache>
                <c:formatCode>m/d/yyyy</c:formatCode>
                <c:ptCount val="2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  <c:pt idx="8">
                  <c:v>46065</c:v>
                </c:pt>
                <c:pt idx="9">
                  <c:v>46066</c:v>
                </c:pt>
                <c:pt idx="10">
                  <c:v>46069</c:v>
                </c:pt>
                <c:pt idx="11">
                  <c:v>46070</c:v>
                </c:pt>
                <c:pt idx="12">
                  <c:v>46071</c:v>
                </c:pt>
                <c:pt idx="13">
                  <c:v>46072</c:v>
                </c:pt>
                <c:pt idx="14">
                  <c:v>46073</c:v>
                </c:pt>
                <c:pt idx="15">
                  <c:v>46076</c:v>
                </c:pt>
                <c:pt idx="16">
                  <c:v>46077</c:v>
                </c:pt>
                <c:pt idx="17">
                  <c:v>46078</c:v>
                </c:pt>
                <c:pt idx="18">
                  <c:v>46079</c:v>
                </c:pt>
                <c:pt idx="19">
                  <c:v>46080</c:v>
                </c:pt>
              </c:numCache>
            </c:numRef>
          </c:cat>
          <c:val>
            <c:numRef>
              <c:f>BD_PROD!$P$7:$P$26</c:f>
              <c:numCache>
                <c:formatCode>[h]:mm:ss</c:formatCode>
                <c:ptCount val="20"/>
                <c:pt idx="0">
                  <c:v>0.67152777777777772</c:v>
                </c:pt>
                <c:pt idx="1">
                  <c:v>0.4375</c:v>
                </c:pt>
                <c:pt idx="2">
                  <c:v>0.73611111111111116</c:v>
                </c:pt>
                <c:pt idx="3">
                  <c:v>0.74583333333333335</c:v>
                </c:pt>
                <c:pt idx="4">
                  <c:v>0.40694444444444455</c:v>
                </c:pt>
                <c:pt idx="5">
                  <c:v>0.7583333333333333</c:v>
                </c:pt>
                <c:pt idx="6">
                  <c:v>0.75625000000000009</c:v>
                </c:pt>
                <c:pt idx="7">
                  <c:v>0.75694444444444453</c:v>
                </c:pt>
                <c:pt idx="8">
                  <c:v>0.75902777777777775</c:v>
                </c:pt>
                <c:pt idx="9">
                  <c:v>0.41041666666666665</c:v>
                </c:pt>
                <c:pt idx="10">
                  <c:v>0.74444444444444435</c:v>
                </c:pt>
                <c:pt idx="11">
                  <c:v>0.76250000000000007</c:v>
                </c:pt>
                <c:pt idx="12">
                  <c:v>0.75486111111111109</c:v>
                </c:pt>
                <c:pt idx="13">
                  <c:v>0.75694444444444453</c:v>
                </c:pt>
                <c:pt idx="14">
                  <c:v>0</c:v>
                </c:pt>
                <c:pt idx="15">
                  <c:v>0.7451388888888888</c:v>
                </c:pt>
                <c:pt idx="16">
                  <c:v>0.75555555555555565</c:v>
                </c:pt>
                <c:pt idx="17">
                  <c:v>0.75624999999999998</c:v>
                </c:pt>
                <c:pt idx="18">
                  <c:v>0.76180555555555562</c:v>
                </c:pt>
                <c:pt idx="19">
                  <c:v>0.51597222222222228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CB-4C5E-B2C5-89FF9A747C86}"/>
            </c:ext>
          </c:extLst>
        </c:ser>
        <c:ser>
          <c:idx val="2"/>
          <c:order val="2"/>
          <c:tx>
            <c:v>Prod. Forno 2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rgbClr val="00B050"/>
                </a:solidFill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6"/>
              <c:layout>
                <c:manualLayout>
                  <c:x val="-2.2963168738003265E-2"/>
                  <c:y val="2.9420853123493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98-4CDF-A6DF-42B07977B3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BD_PROD!$B$7:$B$26</c:f>
              <c:numCache>
                <c:formatCode>m/d/yyyy</c:formatCode>
                <c:ptCount val="20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  <c:pt idx="8">
                  <c:v>46065</c:v>
                </c:pt>
                <c:pt idx="9">
                  <c:v>46066</c:v>
                </c:pt>
                <c:pt idx="10">
                  <c:v>46069</c:v>
                </c:pt>
                <c:pt idx="11">
                  <c:v>46070</c:v>
                </c:pt>
                <c:pt idx="12">
                  <c:v>46071</c:v>
                </c:pt>
                <c:pt idx="13">
                  <c:v>46072</c:v>
                </c:pt>
                <c:pt idx="14">
                  <c:v>46073</c:v>
                </c:pt>
                <c:pt idx="15">
                  <c:v>46076</c:v>
                </c:pt>
                <c:pt idx="16">
                  <c:v>46077</c:v>
                </c:pt>
                <c:pt idx="17">
                  <c:v>46078</c:v>
                </c:pt>
                <c:pt idx="18">
                  <c:v>46079</c:v>
                </c:pt>
                <c:pt idx="19">
                  <c:v>46080</c:v>
                </c:pt>
              </c:numCache>
            </c:numRef>
          </c:cat>
          <c:val>
            <c:numRef>
              <c:f>BD_PROD!$Q$7:$Q$26</c:f>
              <c:numCache>
                <c:formatCode>[h]:mm:ss</c:formatCode>
                <c:ptCount val="20"/>
                <c:pt idx="0">
                  <c:v>0.69027777777777777</c:v>
                </c:pt>
                <c:pt idx="1">
                  <c:v>0.74305555555555558</c:v>
                </c:pt>
                <c:pt idx="2">
                  <c:v>0.74097222222222225</c:v>
                </c:pt>
                <c:pt idx="3">
                  <c:v>0.77569444444444446</c:v>
                </c:pt>
                <c:pt idx="4">
                  <c:v>0.41180555555555554</c:v>
                </c:pt>
                <c:pt idx="5">
                  <c:v>0.7583333333333333</c:v>
                </c:pt>
                <c:pt idx="6">
                  <c:v>0.76319444444444451</c:v>
                </c:pt>
                <c:pt idx="7">
                  <c:v>0.76388888888888884</c:v>
                </c:pt>
                <c:pt idx="8">
                  <c:v>0.76527777777777783</c:v>
                </c:pt>
                <c:pt idx="9">
                  <c:v>0.41388888888888897</c:v>
                </c:pt>
                <c:pt idx="10">
                  <c:v>0.74791666666666667</c:v>
                </c:pt>
                <c:pt idx="11">
                  <c:v>0.75208333333333333</c:v>
                </c:pt>
                <c:pt idx="12">
                  <c:v>0.76875000000000004</c:v>
                </c:pt>
                <c:pt idx="13">
                  <c:v>0.5395833333333333</c:v>
                </c:pt>
                <c:pt idx="14">
                  <c:v>0.54374999999999996</c:v>
                </c:pt>
                <c:pt idx="15">
                  <c:v>0.75902777777777786</c:v>
                </c:pt>
                <c:pt idx="16">
                  <c:v>0.74236111111111114</c:v>
                </c:pt>
                <c:pt idx="17">
                  <c:v>0.72013888888888888</c:v>
                </c:pt>
                <c:pt idx="18">
                  <c:v>0.75347222222222221</c:v>
                </c:pt>
                <c:pt idx="19">
                  <c:v>0.31944444444444442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6CB-4C5E-B2C5-89FF9A747C8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40507568"/>
        <c:axId val="12405253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Prod. Média</c:v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BD_PROD!$B$7:$B$26</c15:sqref>
                        </c15:formulaRef>
                      </c:ext>
                    </c:extLst>
                    <c:numCache>
                      <c:formatCode>m/d/yyyy</c:formatCode>
                      <c:ptCount val="20"/>
                      <c:pt idx="0">
                        <c:v>46055</c:v>
                      </c:pt>
                      <c:pt idx="1">
                        <c:v>46056</c:v>
                      </c:pt>
                      <c:pt idx="2">
                        <c:v>46057</c:v>
                      </c:pt>
                      <c:pt idx="3">
                        <c:v>46058</c:v>
                      </c:pt>
                      <c:pt idx="4">
                        <c:v>46059</c:v>
                      </c:pt>
                      <c:pt idx="5">
                        <c:v>46062</c:v>
                      </c:pt>
                      <c:pt idx="6">
                        <c:v>46063</c:v>
                      </c:pt>
                      <c:pt idx="7">
                        <c:v>46064</c:v>
                      </c:pt>
                      <c:pt idx="8">
                        <c:v>46065</c:v>
                      </c:pt>
                      <c:pt idx="9">
                        <c:v>46066</c:v>
                      </c:pt>
                      <c:pt idx="10">
                        <c:v>46069</c:v>
                      </c:pt>
                      <c:pt idx="11">
                        <c:v>46070</c:v>
                      </c:pt>
                      <c:pt idx="12">
                        <c:v>46071</c:v>
                      </c:pt>
                      <c:pt idx="13">
                        <c:v>46072</c:v>
                      </c:pt>
                      <c:pt idx="14">
                        <c:v>46073</c:v>
                      </c:pt>
                      <c:pt idx="15">
                        <c:v>46076</c:v>
                      </c:pt>
                      <c:pt idx="16">
                        <c:v>46077</c:v>
                      </c:pt>
                      <c:pt idx="17">
                        <c:v>46078</c:v>
                      </c:pt>
                      <c:pt idx="18">
                        <c:v>46079</c:v>
                      </c:pt>
                      <c:pt idx="19">
                        <c:v>46080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[1]BD_PROD!$X$3:$X$19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0.37812500000000004</c:v>
                      </c:pt>
                      <c:pt idx="1">
                        <c:v>0.30347222222222225</c:v>
                      </c:pt>
                      <c:pt idx="2">
                        <c:v>0.36076388888888888</c:v>
                      </c:pt>
                      <c:pt idx="3">
                        <c:v>0.37222222222222223</c:v>
                      </c:pt>
                      <c:pt idx="4">
                        <c:v>0.33958333333333335</c:v>
                      </c:pt>
                      <c:pt idx="5">
                        <c:v>0.34722222222222221</c:v>
                      </c:pt>
                      <c:pt idx="6">
                        <c:v>0.38437500000000002</c:v>
                      </c:pt>
                      <c:pt idx="7">
                        <c:v>0.32673611111111112</c:v>
                      </c:pt>
                      <c:pt idx="8">
                        <c:v>0.34479166666666672</c:v>
                      </c:pt>
                      <c:pt idx="9">
                        <c:v>0.37430555555555556</c:v>
                      </c:pt>
                      <c:pt idx="10">
                        <c:v>0.29340277777777779</c:v>
                      </c:pt>
                      <c:pt idx="11">
                        <c:v>0.34548611111111105</c:v>
                      </c:pt>
                      <c:pt idx="12">
                        <c:v>0.29652777777777783</c:v>
                      </c:pt>
                      <c:pt idx="13">
                        <c:v>0.24166666666666667</c:v>
                      </c:pt>
                      <c:pt idx="14">
                        <c:v>0.3888888888888889</c:v>
                      </c:pt>
                      <c:pt idx="15">
                        <c:v>0.36527777777777776</c:v>
                      </c:pt>
                      <c:pt idx="16">
                        <c:v>0.29270833333333335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36CB-4C5E-B2C5-89FF9A747C86}"/>
                  </c:ext>
                </c:extLst>
              </c15:ser>
            </c15:filteredLineSeries>
          </c:ext>
        </c:extLst>
      </c:lineChart>
      <c:catAx>
        <c:axId val="124050756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0525328"/>
        <c:crosses val="autoZero"/>
        <c:auto val="0"/>
        <c:lblAlgn val="ctr"/>
        <c:lblOffset val="100"/>
        <c:noMultiLvlLbl val="0"/>
      </c:catAx>
      <c:valAx>
        <c:axId val="124052532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h]:mm:ss" sourceLinked="1"/>
        <c:majorTickMark val="none"/>
        <c:minorTickMark val="none"/>
        <c:tickLblPos val="nextTo"/>
        <c:crossAx val="12405075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062750776842547E-2"/>
          <c:y val="0.1032225053998342"/>
          <c:w val="0.9258887179332469"/>
          <c:h val="0.82093618929304235"/>
        </c:manualLayout>
      </c:layout>
      <c:lineChart>
        <c:grouping val="standard"/>
        <c:varyColors val="0"/>
        <c:ser>
          <c:idx val="2"/>
          <c:order val="4"/>
          <c:tx>
            <c:strRef>
              <c:f>BD_PROD!$V$6</c:f>
              <c:strCache>
                <c:ptCount val="1"/>
                <c:pt idx="0">
                  <c:v>Média Paradas n prog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rgbClr val="FF0000"/>
                </a:solidFill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BD_PROD!$B$7:$B$25</c:f>
              <c:numCache>
                <c:formatCode>m/d/yyyy</c:formatCode>
                <c:ptCount val="19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46062</c:v>
                </c:pt>
                <c:pt idx="6">
                  <c:v>46063</c:v>
                </c:pt>
                <c:pt idx="7">
                  <c:v>46064</c:v>
                </c:pt>
                <c:pt idx="8">
                  <c:v>46065</c:v>
                </c:pt>
                <c:pt idx="9">
                  <c:v>46066</c:v>
                </c:pt>
                <c:pt idx="10">
                  <c:v>46069</c:v>
                </c:pt>
                <c:pt idx="11">
                  <c:v>46070</c:v>
                </c:pt>
                <c:pt idx="12">
                  <c:v>46071</c:v>
                </c:pt>
                <c:pt idx="13">
                  <c:v>46072</c:v>
                </c:pt>
                <c:pt idx="14">
                  <c:v>46073</c:v>
                </c:pt>
                <c:pt idx="15">
                  <c:v>46076</c:v>
                </c:pt>
                <c:pt idx="16">
                  <c:v>46077</c:v>
                </c:pt>
                <c:pt idx="17">
                  <c:v>46078</c:v>
                </c:pt>
                <c:pt idx="18">
                  <c:v>46079</c:v>
                </c:pt>
              </c:numCache>
            </c:numRef>
          </c:cat>
          <c:val>
            <c:numRef>
              <c:f>BD_PROD!$V$7:$V$25</c:f>
              <c:numCache>
                <c:formatCode>[$-F400]h:mm:ss\ AM/PM</c:formatCode>
                <c:ptCount val="19"/>
                <c:pt idx="0">
                  <c:v>2.2569444444444444E-2</c:v>
                </c:pt>
                <c:pt idx="1">
                  <c:v>0.19548611111111111</c:v>
                </c:pt>
                <c:pt idx="2">
                  <c:v>0</c:v>
                </c:pt>
                <c:pt idx="3">
                  <c:v>1.0069444444444443E-2</c:v>
                </c:pt>
                <c:pt idx="4">
                  <c:v>3.472222222222222E-3</c:v>
                </c:pt>
                <c:pt idx="5">
                  <c:v>4.1666666666666664E-2</c:v>
                </c:pt>
                <c:pt idx="6">
                  <c:v>0</c:v>
                </c:pt>
                <c:pt idx="7">
                  <c:v>2.6041666666666668E-2</c:v>
                </c:pt>
                <c:pt idx="8">
                  <c:v>0.11979166666666667</c:v>
                </c:pt>
                <c:pt idx="9">
                  <c:v>0</c:v>
                </c:pt>
                <c:pt idx="10">
                  <c:v>0.10347222222222222</c:v>
                </c:pt>
                <c:pt idx="11">
                  <c:v>1.2152777777777778E-2</c:v>
                </c:pt>
                <c:pt idx="12">
                  <c:v>0.1076388888888889</c:v>
                </c:pt>
                <c:pt idx="13">
                  <c:v>0.13055555555555556</c:v>
                </c:pt>
                <c:pt idx="14">
                  <c:v>0</c:v>
                </c:pt>
                <c:pt idx="15">
                  <c:v>2.0833333333333333E-3</c:v>
                </c:pt>
                <c:pt idx="16">
                  <c:v>1.7361111111111112E-2</c:v>
                </c:pt>
                <c:pt idx="17">
                  <c:v>4.0972222222222215E-2</c:v>
                </c:pt>
                <c:pt idx="18">
                  <c:v>0.1579861111111111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C13-4103-ABFF-A40B200610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5236720"/>
        <c:axId val="1635209840"/>
        <c:extLst>
          <c:ext xmlns:c15="http://schemas.microsoft.com/office/drawing/2012/chart" uri="{02D57815-91ED-43cb-92C2-25804820EDAC}">
            <c15:filteredLineSeries>
              <c15:ser>
                <c:idx val="22"/>
                <c:order val="0"/>
                <c:tx>
                  <c:strRef>
                    <c:extLst>
                      <c:ext uri="{02D57815-91ED-43cb-92C2-25804820EDAC}">
                        <c15:formulaRef>
                          <c15:sqref>BD_PROD!$O$6</c15:sqref>
                        </c15:formulaRef>
                      </c:ext>
                    </c:extLst>
                    <c:strCache>
                      <c:ptCount val="1"/>
                      <c:pt idx="0">
                        <c:v>Prod Média</c:v>
                      </c:pt>
                    </c:strCache>
                  </c:strRef>
                </c:tx>
                <c:spPr>
                  <a:ln w="22225" cap="rnd">
                    <a:solidFill>
                      <a:srgbClr val="00B050"/>
                    </a:solidFill>
                  </a:ln>
                  <a:effectLst>
                    <a:glow rad="139700">
                      <a:schemeClr val="accent5">
                        <a:lumMod val="8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5">
                        <a:lumMod val="8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5">
                          <a:lumMod val="8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BD_PROD!$B$7:$B$25</c15:sqref>
                        </c15:formulaRef>
                      </c:ext>
                    </c:extLst>
                    <c:numCache>
                      <c:formatCode>m/d/yyyy</c:formatCode>
                      <c:ptCount val="19"/>
                      <c:pt idx="0">
                        <c:v>46055</c:v>
                      </c:pt>
                      <c:pt idx="1">
                        <c:v>46056</c:v>
                      </c:pt>
                      <c:pt idx="2">
                        <c:v>46057</c:v>
                      </c:pt>
                      <c:pt idx="3">
                        <c:v>46058</c:v>
                      </c:pt>
                      <c:pt idx="4">
                        <c:v>46059</c:v>
                      </c:pt>
                      <c:pt idx="5">
                        <c:v>46062</c:v>
                      </c:pt>
                      <c:pt idx="6">
                        <c:v>46063</c:v>
                      </c:pt>
                      <c:pt idx="7">
                        <c:v>46064</c:v>
                      </c:pt>
                      <c:pt idx="8">
                        <c:v>46065</c:v>
                      </c:pt>
                      <c:pt idx="9">
                        <c:v>46066</c:v>
                      </c:pt>
                      <c:pt idx="10">
                        <c:v>46069</c:v>
                      </c:pt>
                      <c:pt idx="11">
                        <c:v>46070</c:v>
                      </c:pt>
                      <c:pt idx="12">
                        <c:v>46071</c:v>
                      </c:pt>
                      <c:pt idx="13">
                        <c:v>46072</c:v>
                      </c:pt>
                      <c:pt idx="14">
                        <c:v>46073</c:v>
                      </c:pt>
                      <c:pt idx="15">
                        <c:v>46076</c:v>
                      </c:pt>
                      <c:pt idx="16">
                        <c:v>46077</c:v>
                      </c:pt>
                      <c:pt idx="17">
                        <c:v>46078</c:v>
                      </c:pt>
                      <c:pt idx="18">
                        <c:v>46079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BD_PROD!$O$7:$O$26</c15:sqref>
                        </c15:formulaRef>
                      </c:ext>
                    </c:extLst>
                    <c:numCache>
                      <c:formatCode>[$-F400]h:mm:ss\ AM/PM</c:formatCode>
                      <c:ptCount val="20"/>
                      <c:pt idx="0">
                        <c:v>0.66006944444444438</c:v>
                      </c:pt>
                      <c:pt idx="1">
                        <c:v>0.58993055555555562</c:v>
                      </c:pt>
                      <c:pt idx="2">
                        <c:v>0.71944444444444444</c:v>
                      </c:pt>
                      <c:pt idx="3">
                        <c:v>0.75347222222222232</c:v>
                      </c:pt>
                      <c:pt idx="4">
                        <c:v>0.41215277777777781</c:v>
                      </c:pt>
                      <c:pt idx="5">
                        <c:v>0.734375</c:v>
                      </c:pt>
                      <c:pt idx="6">
                        <c:v>0.74548611111111107</c:v>
                      </c:pt>
                      <c:pt idx="7">
                        <c:v>0.75138888888888888</c:v>
                      </c:pt>
                      <c:pt idx="8">
                        <c:v>0.63090277777777781</c:v>
                      </c:pt>
                      <c:pt idx="9">
                        <c:v>0.41388888888888897</c:v>
                      </c:pt>
                      <c:pt idx="10">
                        <c:v>0.71249999999999991</c:v>
                      </c:pt>
                      <c:pt idx="11">
                        <c:v>0.75034722222222228</c:v>
                      </c:pt>
                      <c:pt idx="12">
                        <c:v>0.7548611111111112</c:v>
                      </c:pt>
                      <c:pt idx="13">
                        <c:v>0.61840277777777786</c:v>
                      </c:pt>
                      <c:pt idx="14">
                        <c:v>0.26076388888888891</c:v>
                      </c:pt>
                      <c:pt idx="15">
                        <c:v>0.7416666666666667</c:v>
                      </c:pt>
                      <c:pt idx="16">
                        <c:v>0.72569444444444453</c:v>
                      </c:pt>
                      <c:pt idx="17">
                        <c:v>0.73888888888888893</c:v>
                      </c:pt>
                      <c:pt idx="18">
                        <c:v>0.75381944444444449</c:v>
                      </c:pt>
                      <c:pt idx="19">
                        <c:v>0.42013888888888895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C13-4103-ABFF-A40B20061006}"/>
                  </c:ext>
                </c:extLst>
              </c15:ser>
            </c15:filteredLineSeries>
            <c15:filteredLineSeries>
              <c15:ser>
                <c:idx val="27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BD_PROD!$AC$6</c15:sqref>
                        </c15:formulaRef>
                      </c:ext>
                    </c:extLst>
                    <c:strCache>
                      <c:ptCount val="1"/>
                      <c:pt idx="0">
                        <c:v>Carga Horária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</a:ln>
                  <a:effectLst>
                    <a:glow rad="139700">
                      <a:schemeClr val="accent4">
                        <a:lumMod val="60000"/>
                        <a:lumOff val="40000"/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4">
                        <a:lumMod val="60000"/>
                        <a:lumOff val="40000"/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4">
                          <a:lumMod val="60000"/>
                          <a:lumOff val="40000"/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BD_PROD!$B$7:$B$25</c15:sqref>
                        </c15:formulaRef>
                      </c:ext>
                    </c:extLst>
                    <c:numCache>
                      <c:formatCode>m/d/yyyy</c:formatCode>
                      <c:ptCount val="19"/>
                      <c:pt idx="0">
                        <c:v>46055</c:v>
                      </c:pt>
                      <c:pt idx="1">
                        <c:v>46056</c:v>
                      </c:pt>
                      <c:pt idx="2">
                        <c:v>46057</c:v>
                      </c:pt>
                      <c:pt idx="3">
                        <c:v>46058</c:v>
                      </c:pt>
                      <c:pt idx="4">
                        <c:v>46059</c:v>
                      </c:pt>
                      <c:pt idx="5">
                        <c:v>46062</c:v>
                      </c:pt>
                      <c:pt idx="6">
                        <c:v>46063</c:v>
                      </c:pt>
                      <c:pt idx="7">
                        <c:v>46064</c:v>
                      </c:pt>
                      <c:pt idx="8">
                        <c:v>46065</c:v>
                      </c:pt>
                      <c:pt idx="9">
                        <c:v>46066</c:v>
                      </c:pt>
                      <c:pt idx="10">
                        <c:v>46069</c:v>
                      </c:pt>
                      <c:pt idx="11">
                        <c:v>46070</c:v>
                      </c:pt>
                      <c:pt idx="12">
                        <c:v>46071</c:v>
                      </c:pt>
                      <c:pt idx="13">
                        <c:v>46072</c:v>
                      </c:pt>
                      <c:pt idx="14">
                        <c:v>46073</c:v>
                      </c:pt>
                      <c:pt idx="15">
                        <c:v>46076</c:v>
                      </c:pt>
                      <c:pt idx="16">
                        <c:v>46077</c:v>
                      </c:pt>
                      <c:pt idx="17">
                        <c:v>46078</c:v>
                      </c:pt>
                      <c:pt idx="18">
                        <c:v>46079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BD_PROD!$AC$7:$AC$26</c15:sqref>
                        </c15:formulaRef>
                      </c:ext>
                    </c:extLst>
                    <c:numCache>
                      <c:formatCode>[$-F400]h:mm:ss\ AM/PM</c:formatCode>
                      <c:ptCount val="20"/>
                      <c:pt idx="0">
                        <c:v>0.8184027777777777</c:v>
                      </c:pt>
                      <c:pt idx="1">
                        <c:v>0.85208333333333341</c:v>
                      </c:pt>
                      <c:pt idx="2">
                        <c:v>0.7895833333333333</c:v>
                      </c:pt>
                      <c:pt idx="3">
                        <c:v>0.83368055555555565</c:v>
                      </c:pt>
                      <c:pt idx="4">
                        <c:v>0.4861111111111111</c:v>
                      </c:pt>
                      <c:pt idx="5">
                        <c:v>0.85381944444444446</c:v>
                      </c:pt>
                      <c:pt idx="6">
                        <c:v>0.8159722222222221</c:v>
                      </c:pt>
                      <c:pt idx="7">
                        <c:v>0.84618055555555549</c:v>
                      </c:pt>
                      <c:pt idx="8">
                        <c:v>0.81770833333333337</c:v>
                      </c:pt>
                      <c:pt idx="9">
                        <c:v>0.48159722222222229</c:v>
                      </c:pt>
                      <c:pt idx="10">
                        <c:v>0.90555555555555545</c:v>
                      </c:pt>
                      <c:pt idx="11">
                        <c:v>0.83437499999999998</c:v>
                      </c:pt>
                      <c:pt idx="12">
                        <c:v>0.93055555555555558</c:v>
                      </c:pt>
                      <c:pt idx="13">
                        <c:v>0.82395833333333335</c:v>
                      </c:pt>
                      <c:pt idx="14">
                        <c:v>0.35659722222222223</c:v>
                      </c:pt>
                      <c:pt idx="15">
                        <c:v>0.82083333333333341</c:v>
                      </c:pt>
                      <c:pt idx="16">
                        <c:v>0.81875000000000009</c:v>
                      </c:pt>
                      <c:pt idx="17">
                        <c:v>0.84791666666666665</c:v>
                      </c:pt>
                      <c:pt idx="18">
                        <c:v>0.97916666666666674</c:v>
                      </c:pt>
                      <c:pt idx="19">
                        <c:v>0.48784722222222227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C13-4103-ABFF-A40B20061006}"/>
                  </c:ext>
                </c:extLst>
              </c15:ser>
            </c15:filteredLineSeries>
            <c15:filteredLineSeries>
              <c15:ser>
                <c:idx val="0"/>
                <c:order val="2"/>
                <c:tx>
                  <c:v>Tempo Parado</c:v>
                </c:tx>
                <c:spPr>
                  <a:ln w="22225" cap="rnd">
                    <a:solidFill>
                      <a:srgbClr val="FF0000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>
                      <a:solidFill>
                        <a:srgbClr val="FF0000"/>
                      </a:solidFill>
                    </a:ln>
                    <a:effectLst>
                      <a:glow rad="63500">
                        <a:schemeClr val="accent1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0">
                      <a:spAutoFit/>
                    </a:bodyPr>
                    <a:lstStyle/>
                    <a:p>
                      <a:pPr algn="ctr">
                        <a:defRPr lang="en-US" sz="12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BD_PROD!$B$7:$B$25</c15:sqref>
                        </c15:formulaRef>
                      </c:ext>
                    </c:extLst>
                    <c:numCache>
                      <c:formatCode>m/d/yyyy</c:formatCode>
                      <c:ptCount val="19"/>
                      <c:pt idx="0">
                        <c:v>46055</c:v>
                      </c:pt>
                      <c:pt idx="1">
                        <c:v>46056</c:v>
                      </c:pt>
                      <c:pt idx="2">
                        <c:v>46057</c:v>
                      </c:pt>
                      <c:pt idx="3">
                        <c:v>46058</c:v>
                      </c:pt>
                      <c:pt idx="4">
                        <c:v>46059</c:v>
                      </c:pt>
                      <c:pt idx="5">
                        <c:v>46062</c:v>
                      </c:pt>
                      <c:pt idx="6">
                        <c:v>46063</c:v>
                      </c:pt>
                      <c:pt idx="7">
                        <c:v>46064</c:v>
                      </c:pt>
                      <c:pt idx="8">
                        <c:v>46065</c:v>
                      </c:pt>
                      <c:pt idx="9">
                        <c:v>46066</c:v>
                      </c:pt>
                      <c:pt idx="10">
                        <c:v>46069</c:v>
                      </c:pt>
                      <c:pt idx="11">
                        <c:v>46070</c:v>
                      </c:pt>
                      <c:pt idx="12">
                        <c:v>46071</c:v>
                      </c:pt>
                      <c:pt idx="13">
                        <c:v>46072</c:v>
                      </c:pt>
                      <c:pt idx="14">
                        <c:v>46073</c:v>
                      </c:pt>
                      <c:pt idx="15">
                        <c:v>46076</c:v>
                      </c:pt>
                      <c:pt idx="16">
                        <c:v>46077</c:v>
                      </c:pt>
                      <c:pt idx="17">
                        <c:v>46078</c:v>
                      </c:pt>
                      <c:pt idx="18">
                        <c:v>46079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BD_PROD!$V$7:$V$26</c15:sqref>
                        </c15:formulaRef>
                      </c:ext>
                    </c:extLst>
                    <c:numCache>
                      <c:formatCode>[$-F400]h:mm:ss\ AM/PM</c:formatCode>
                      <c:ptCount val="20"/>
                      <c:pt idx="0">
                        <c:v>2.2569444444444444E-2</c:v>
                      </c:pt>
                      <c:pt idx="1">
                        <c:v>0.19548611111111111</c:v>
                      </c:pt>
                      <c:pt idx="2">
                        <c:v>0</c:v>
                      </c:pt>
                      <c:pt idx="3">
                        <c:v>1.0069444444444443E-2</c:v>
                      </c:pt>
                      <c:pt idx="4">
                        <c:v>3.472222222222222E-3</c:v>
                      </c:pt>
                      <c:pt idx="5">
                        <c:v>4.1666666666666664E-2</c:v>
                      </c:pt>
                      <c:pt idx="6">
                        <c:v>0</c:v>
                      </c:pt>
                      <c:pt idx="7">
                        <c:v>2.6041666666666668E-2</c:v>
                      </c:pt>
                      <c:pt idx="8">
                        <c:v>0.11979166666666667</c:v>
                      </c:pt>
                      <c:pt idx="9">
                        <c:v>0</c:v>
                      </c:pt>
                      <c:pt idx="10">
                        <c:v>0.10347222222222222</c:v>
                      </c:pt>
                      <c:pt idx="11">
                        <c:v>1.2152777777777778E-2</c:v>
                      </c:pt>
                      <c:pt idx="12">
                        <c:v>0.1076388888888889</c:v>
                      </c:pt>
                      <c:pt idx="13">
                        <c:v>0.13055555555555556</c:v>
                      </c:pt>
                      <c:pt idx="14">
                        <c:v>0</c:v>
                      </c:pt>
                      <c:pt idx="15">
                        <c:v>2.0833333333333333E-3</c:v>
                      </c:pt>
                      <c:pt idx="16">
                        <c:v>1.7361111111111112E-2</c:v>
                      </c:pt>
                      <c:pt idx="17">
                        <c:v>4.0972222222222215E-2</c:v>
                      </c:pt>
                      <c:pt idx="18">
                        <c:v>0.1579861111111111</c:v>
                      </c:pt>
                      <c:pt idx="1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C13-4103-ABFF-A40B20061006}"/>
                  </c:ext>
                </c:extLst>
              </c15:ser>
            </c15:filteredLineSeries>
            <c15:filteredLine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BD_PROD!$AA$6</c15:sqref>
                        </c15:formulaRef>
                      </c:ext>
                    </c:extLst>
                    <c:strCache>
                      <c:ptCount val="1"/>
                      <c:pt idx="0">
                        <c:v>Média de Start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</a:ln>
                  <a:effectLst>
                    <a:glow rad="139700">
                      <a:schemeClr val="accent2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circle"/>
                  <c:size val="4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>
                      <a:glow rad="63500">
                        <a:schemeClr val="accent2">
                          <a:satMod val="175000"/>
                          <a:alpha val="25000"/>
                        </a:schemeClr>
                      </a:glo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BD_PROD!$B$7:$B$25</c15:sqref>
                        </c15:formulaRef>
                      </c:ext>
                    </c:extLst>
                    <c:numCache>
                      <c:formatCode>m/d/yyyy</c:formatCode>
                      <c:ptCount val="19"/>
                      <c:pt idx="0">
                        <c:v>46055</c:v>
                      </c:pt>
                      <c:pt idx="1">
                        <c:v>46056</c:v>
                      </c:pt>
                      <c:pt idx="2">
                        <c:v>46057</c:v>
                      </c:pt>
                      <c:pt idx="3">
                        <c:v>46058</c:v>
                      </c:pt>
                      <c:pt idx="4">
                        <c:v>46059</c:v>
                      </c:pt>
                      <c:pt idx="5">
                        <c:v>46062</c:v>
                      </c:pt>
                      <c:pt idx="6">
                        <c:v>46063</c:v>
                      </c:pt>
                      <c:pt idx="7">
                        <c:v>46064</c:v>
                      </c:pt>
                      <c:pt idx="8">
                        <c:v>46065</c:v>
                      </c:pt>
                      <c:pt idx="9">
                        <c:v>46066</c:v>
                      </c:pt>
                      <c:pt idx="10">
                        <c:v>46069</c:v>
                      </c:pt>
                      <c:pt idx="11">
                        <c:v>46070</c:v>
                      </c:pt>
                      <c:pt idx="12">
                        <c:v>46071</c:v>
                      </c:pt>
                      <c:pt idx="13">
                        <c:v>46072</c:v>
                      </c:pt>
                      <c:pt idx="14">
                        <c:v>46073</c:v>
                      </c:pt>
                      <c:pt idx="15">
                        <c:v>46076</c:v>
                      </c:pt>
                      <c:pt idx="16">
                        <c:v>46077</c:v>
                      </c:pt>
                      <c:pt idx="17">
                        <c:v>46078</c:v>
                      </c:pt>
                      <c:pt idx="18">
                        <c:v>46079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BD_PROD!$AA$7:$AA$26</c15:sqref>
                        </c15:formulaRef>
                      </c:ext>
                    </c:extLst>
                    <c:numCache>
                      <c:formatCode>[$-F400]h:mm:ss\ AM/PM</c:formatCode>
                      <c:ptCount val="20"/>
                      <c:pt idx="0">
                        <c:v>0.13576388888888891</c:v>
                      </c:pt>
                      <c:pt idx="1">
                        <c:v>6.6666666666666652E-2</c:v>
                      </c:pt>
                      <c:pt idx="2">
                        <c:v>7.0138888888888862E-2</c:v>
                      </c:pt>
                      <c:pt idx="3">
                        <c:v>7.0138888888888862E-2</c:v>
                      </c:pt>
                      <c:pt idx="4">
                        <c:v>7.0486111111111083E-2</c:v>
                      </c:pt>
                      <c:pt idx="5">
                        <c:v>7.7777777777777779E-2</c:v>
                      </c:pt>
                      <c:pt idx="6">
                        <c:v>7.0486111111111083E-2</c:v>
                      </c:pt>
                      <c:pt idx="7">
                        <c:v>6.8749999999999978E-2</c:v>
                      </c:pt>
                      <c:pt idx="8">
                        <c:v>6.7013888888888873E-2</c:v>
                      </c:pt>
                      <c:pt idx="9">
                        <c:v>6.7708333333333315E-2</c:v>
                      </c:pt>
                      <c:pt idx="10">
                        <c:v>8.9583333333333348E-2</c:v>
                      </c:pt>
                      <c:pt idx="11">
                        <c:v>7.1874999999999967E-2</c:v>
                      </c:pt>
                      <c:pt idx="12">
                        <c:v>6.8055555555555536E-2</c:v>
                      </c:pt>
                      <c:pt idx="13">
                        <c:v>7.4999999999999956E-2</c:v>
                      </c:pt>
                      <c:pt idx="14">
                        <c:v>9.5833333333333326E-2</c:v>
                      </c:pt>
                      <c:pt idx="15">
                        <c:v>7.7083333333333337E-2</c:v>
                      </c:pt>
                      <c:pt idx="16">
                        <c:v>7.5694444444444398E-2</c:v>
                      </c:pt>
                      <c:pt idx="17">
                        <c:v>6.8055555555555536E-2</c:v>
                      </c:pt>
                      <c:pt idx="18">
                        <c:v>6.7361111111111094E-2</c:v>
                      </c:pt>
                      <c:pt idx="19">
                        <c:v>6.7708333333333315E-2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C13-4103-ABFF-A40B20061006}"/>
                  </c:ext>
                </c:extLst>
              </c15:ser>
            </c15:filteredLineSeries>
          </c:ext>
        </c:extLst>
      </c:lineChart>
      <c:catAx>
        <c:axId val="163523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5209840"/>
        <c:crosses val="autoZero"/>
        <c:auto val="0"/>
        <c:lblAlgn val="ctr"/>
        <c:lblOffset val="0"/>
        <c:noMultiLvlLbl val="0"/>
      </c:catAx>
      <c:valAx>
        <c:axId val="1635209840"/>
        <c:scaling>
          <c:orientation val="minMax"/>
        </c:scaling>
        <c:delete val="0"/>
        <c:axPos val="l"/>
        <c:numFmt formatCode="[$-F400]h:mm:ss\ AM/P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523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59018</xdr:colOff>
      <xdr:row>87</xdr:row>
      <xdr:rowOff>69503</xdr:rowOff>
    </xdr:from>
    <xdr:to>
      <xdr:col>14</xdr:col>
      <xdr:colOff>667658</xdr:colOff>
      <xdr:row>111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A35A794-EC5E-44F1-A303-378A63AFE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56030</xdr:colOff>
      <xdr:row>114</xdr:row>
      <xdr:rowOff>32242</xdr:rowOff>
    </xdr:from>
    <xdr:to>
      <xdr:col>14</xdr:col>
      <xdr:colOff>666749</xdr:colOff>
      <xdr:row>138</xdr:row>
      <xdr:rowOff>89647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52D28B7-6FF1-3185-6D3F-FDFF5ABD6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33619</xdr:colOff>
      <xdr:row>29</xdr:row>
      <xdr:rowOff>168247</xdr:rowOff>
    </xdr:from>
    <xdr:to>
      <xdr:col>14</xdr:col>
      <xdr:colOff>594029</xdr:colOff>
      <xdr:row>53</xdr:row>
      <xdr:rowOff>179294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53CDE4-4C49-46C7-976E-FACB6571A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42976</xdr:colOff>
      <xdr:row>57</xdr:row>
      <xdr:rowOff>11207</xdr:rowOff>
    </xdr:from>
    <xdr:to>
      <xdr:col>14</xdr:col>
      <xdr:colOff>645823</xdr:colOff>
      <xdr:row>84</xdr:row>
      <xdr:rowOff>123265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523E4A-9A37-4C49-90CF-61D5CE332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470699</xdr:colOff>
      <xdr:row>140</xdr:row>
      <xdr:rowOff>59107</xdr:rowOff>
    </xdr:from>
    <xdr:to>
      <xdr:col>6</xdr:col>
      <xdr:colOff>98665</xdr:colOff>
      <xdr:row>142</xdr:row>
      <xdr:rowOff>80374</xdr:rowOff>
    </xdr:to>
    <xdr:sp macro="" textlink="$M$27">
      <xdr:nvSpPr>
        <xdr:cNvPr id="3" name="Retângulo 2">
          <a:extLst>
            <a:ext uri="{FF2B5EF4-FFF2-40B4-BE49-F238E27FC236}">
              <a16:creationId xmlns:a16="http://schemas.microsoft.com/office/drawing/2014/main" id="{443C589F-06D6-478A-7D2B-3F059CCCEE91}"/>
            </a:ext>
          </a:extLst>
        </xdr:cNvPr>
        <xdr:cNvSpPr/>
      </xdr:nvSpPr>
      <xdr:spPr>
        <a:xfrm>
          <a:off x="2420523" y="25395607"/>
          <a:ext cx="2350995" cy="402267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B72A4EC-EFA9-4516-A1E0-1D073FA04062}" type="TxLink">
            <a:rPr lang="en-US" sz="3200" b="1" i="0" u="none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976.050</a:t>
          </a:fld>
          <a:endParaRPr lang="pt-BR" sz="7200" b="1" i="0" u="none" strike="noStrike" baseline="0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62751</xdr:colOff>
      <xdr:row>140</xdr:row>
      <xdr:rowOff>59107</xdr:rowOff>
    </xdr:from>
    <xdr:to>
      <xdr:col>3</xdr:col>
      <xdr:colOff>470699</xdr:colOff>
      <xdr:row>142</xdr:row>
      <xdr:rowOff>80374</xdr:rowOff>
    </xdr:to>
    <xdr:sp macro="" textlink="$C$27">
      <xdr:nvSpPr>
        <xdr:cNvPr id="5" name="Retângulo 4">
          <a:extLst>
            <a:ext uri="{FF2B5EF4-FFF2-40B4-BE49-F238E27FC236}">
              <a16:creationId xmlns:a16="http://schemas.microsoft.com/office/drawing/2014/main" id="{4F0A0466-D77F-49B7-B5D2-C7A2EF381C40}"/>
            </a:ext>
          </a:extLst>
        </xdr:cNvPr>
        <xdr:cNvSpPr/>
      </xdr:nvSpPr>
      <xdr:spPr>
        <a:xfrm>
          <a:off x="62751" y="25395607"/>
          <a:ext cx="2357772" cy="402267"/>
        </a:xfrm>
        <a:prstGeom prst="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7268B65-138A-4713-AED4-D8FEED7C6F1E}" type="TxLink">
            <a:rPr lang="en-US" sz="3200" b="1" i="0" u="none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1.062.495</a:t>
          </a:fld>
          <a:endParaRPr lang="pt-BR" sz="3200" b="1" i="0" u="none" strike="noStrike" baseline="0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1419116</xdr:colOff>
      <xdr:row>140</xdr:row>
      <xdr:rowOff>78336</xdr:rowOff>
    </xdr:from>
    <xdr:to>
      <xdr:col>10</xdr:col>
      <xdr:colOff>939202</xdr:colOff>
      <xdr:row>142</xdr:row>
      <xdr:rowOff>98499</xdr:rowOff>
    </xdr:to>
    <xdr:sp macro="" textlink="RELATÓRIO_EFIC!C11">
      <xdr:nvSpPr>
        <xdr:cNvPr id="6" name="Retângulo 5">
          <a:extLst>
            <a:ext uri="{FF2B5EF4-FFF2-40B4-BE49-F238E27FC236}">
              <a16:creationId xmlns:a16="http://schemas.microsoft.com/office/drawing/2014/main" id="{946676E1-9152-4D59-A70D-951CE4ADBFFC}"/>
            </a:ext>
          </a:extLst>
        </xdr:cNvPr>
        <xdr:cNvSpPr/>
      </xdr:nvSpPr>
      <xdr:spPr>
        <a:xfrm>
          <a:off x="9062929" y="26176836"/>
          <a:ext cx="2449023" cy="401163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4C9DA646-58ED-4CFB-A901-4E96E9068AD4}" type="TxLink">
            <a:rPr lang="en-US" sz="3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84,46%</a:t>
          </a:fld>
          <a:endParaRPr lang="pt-BR" sz="3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10</xdr:col>
      <xdr:colOff>947366</xdr:colOff>
      <xdr:row>140</xdr:row>
      <xdr:rowOff>78336</xdr:rowOff>
    </xdr:from>
    <xdr:to>
      <xdr:col>12</xdr:col>
      <xdr:colOff>807693</xdr:colOff>
      <xdr:row>142</xdr:row>
      <xdr:rowOff>98499</xdr:rowOff>
    </xdr:to>
    <xdr:sp macro="" textlink="RELATÓRIO_EFIC!D11">
      <xdr:nvSpPr>
        <xdr:cNvPr id="9" name="Retângulo 8">
          <a:extLst>
            <a:ext uri="{FF2B5EF4-FFF2-40B4-BE49-F238E27FC236}">
              <a16:creationId xmlns:a16="http://schemas.microsoft.com/office/drawing/2014/main" id="{239CDC07-716D-419F-9923-D9A723E61BA7}"/>
            </a:ext>
          </a:extLst>
        </xdr:cNvPr>
        <xdr:cNvSpPr/>
      </xdr:nvSpPr>
      <xdr:spPr>
        <a:xfrm>
          <a:off x="11520116" y="26176836"/>
          <a:ext cx="2610671" cy="401163"/>
        </a:xfrm>
        <a:prstGeom prst="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147540C-B207-49A5-98B8-1CD7831E617D}" type="TxLink">
            <a:rPr lang="en-US" sz="3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91,86%</a:t>
          </a:fld>
          <a:endParaRPr lang="pt-BR" sz="3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845345</xdr:colOff>
      <xdr:row>140</xdr:row>
      <xdr:rowOff>78336</xdr:rowOff>
    </xdr:from>
    <xdr:to>
      <xdr:col>14</xdr:col>
      <xdr:colOff>654843</xdr:colOff>
      <xdr:row>142</xdr:row>
      <xdr:rowOff>98499</xdr:rowOff>
    </xdr:to>
    <xdr:sp macro="" textlink="RELATÓRIO_EFIC!E11">
      <xdr:nvSpPr>
        <xdr:cNvPr id="10" name="Retângulo 9">
          <a:extLst>
            <a:ext uri="{FF2B5EF4-FFF2-40B4-BE49-F238E27FC236}">
              <a16:creationId xmlns:a16="http://schemas.microsoft.com/office/drawing/2014/main" id="{668B5845-12D4-45FE-9CA5-F4D620DE4070}"/>
            </a:ext>
          </a:extLst>
        </xdr:cNvPr>
        <xdr:cNvSpPr/>
      </xdr:nvSpPr>
      <xdr:spPr>
        <a:xfrm>
          <a:off x="14168439" y="26176836"/>
          <a:ext cx="2226467" cy="401163"/>
        </a:xfrm>
        <a:prstGeom prst="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EE0F707-97B2-4B95-9F0B-6788CFE2BE9C}" type="TxLink">
            <a:rPr lang="en-US" sz="3200" b="1" i="0" u="none" strike="noStrike" baseline="0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77,59%</a:t>
          </a:fld>
          <a:endParaRPr lang="pt-BR" sz="3200" b="1" i="0" u="none" strike="noStrike" baseline="0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72730</xdr:colOff>
      <xdr:row>138</xdr:row>
      <xdr:rowOff>110565</xdr:rowOff>
    </xdr:from>
    <xdr:to>
      <xdr:col>3</xdr:col>
      <xdr:colOff>463442</xdr:colOff>
      <xdr:row>140</xdr:row>
      <xdr:rowOff>37111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4A636431-8705-0701-8312-D444A1450CC1}"/>
            </a:ext>
          </a:extLst>
        </xdr:cNvPr>
        <xdr:cNvSpPr/>
      </xdr:nvSpPr>
      <xdr:spPr>
        <a:xfrm>
          <a:off x="72730" y="25066065"/>
          <a:ext cx="2340536" cy="307546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tx1"/>
              </a:solidFill>
            </a:rPr>
            <a:t>Meta Produção</a:t>
          </a:r>
        </a:p>
      </xdr:txBody>
    </xdr:sp>
    <xdr:clientData/>
  </xdr:twoCellAnchor>
  <xdr:twoCellAnchor>
    <xdr:from>
      <xdr:col>3</xdr:col>
      <xdr:colOff>476142</xdr:colOff>
      <xdr:row>138</xdr:row>
      <xdr:rowOff>110565</xdr:rowOff>
    </xdr:from>
    <xdr:to>
      <xdr:col>6</xdr:col>
      <xdr:colOff>91407</xdr:colOff>
      <xdr:row>140</xdr:row>
      <xdr:rowOff>37111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FE85CE3A-6EF9-4AD1-A3FB-646A3B6054B2}"/>
            </a:ext>
          </a:extLst>
        </xdr:cNvPr>
        <xdr:cNvSpPr/>
      </xdr:nvSpPr>
      <xdr:spPr>
        <a:xfrm>
          <a:off x="2425966" y="25066065"/>
          <a:ext cx="2338294" cy="307546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tx1"/>
              </a:solidFill>
            </a:rPr>
            <a:t>Total Realizado</a:t>
          </a:r>
        </a:p>
      </xdr:txBody>
    </xdr:sp>
    <xdr:clientData/>
  </xdr:twoCellAnchor>
  <xdr:twoCellAnchor>
    <xdr:from>
      <xdr:col>8</xdr:col>
      <xdr:colOff>1431816</xdr:colOff>
      <xdr:row>138</xdr:row>
      <xdr:rowOff>122142</xdr:rowOff>
    </xdr:from>
    <xdr:to>
      <xdr:col>10</xdr:col>
      <xdr:colOff>934666</xdr:colOff>
      <xdr:row>140</xdr:row>
      <xdr:rowOff>48688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ADD15049-3AB6-44AC-B1CA-5BC57CC9A24E}"/>
            </a:ext>
          </a:extLst>
        </xdr:cNvPr>
        <xdr:cNvSpPr/>
      </xdr:nvSpPr>
      <xdr:spPr>
        <a:xfrm>
          <a:off x="9075629" y="25839642"/>
          <a:ext cx="2431787" cy="307546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tx1"/>
              </a:solidFill>
            </a:rPr>
            <a:t>Média T/Prod.</a:t>
          </a:r>
        </a:p>
      </xdr:txBody>
    </xdr:sp>
    <xdr:clientData/>
  </xdr:twoCellAnchor>
  <xdr:twoCellAnchor>
    <xdr:from>
      <xdr:col>10</xdr:col>
      <xdr:colOff>960066</xdr:colOff>
      <xdr:row>138</xdr:row>
      <xdr:rowOff>122142</xdr:rowOff>
    </xdr:from>
    <xdr:to>
      <xdr:col>12</xdr:col>
      <xdr:colOff>807693</xdr:colOff>
      <xdr:row>140</xdr:row>
      <xdr:rowOff>48688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D6E90F18-412A-4786-855F-EBB62A03DAB8}"/>
            </a:ext>
          </a:extLst>
        </xdr:cNvPr>
        <xdr:cNvSpPr/>
      </xdr:nvSpPr>
      <xdr:spPr>
        <a:xfrm>
          <a:off x="11532816" y="25839642"/>
          <a:ext cx="2597971" cy="307546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tx1"/>
              </a:solidFill>
            </a:rPr>
            <a:t>Média Prod.</a:t>
          </a:r>
        </a:p>
      </xdr:txBody>
    </xdr:sp>
    <xdr:clientData/>
  </xdr:twoCellAnchor>
  <xdr:twoCellAnchor>
    <xdr:from>
      <xdr:col>12</xdr:col>
      <xdr:colOff>845343</xdr:colOff>
      <xdr:row>138</xdr:row>
      <xdr:rowOff>122142</xdr:rowOff>
    </xdr:from>
    <xdr:to>
      <xdr:col>14</xdr:col>
      <xdr:colOff>654841</xdr:colOff>
      <xdr:row>140</xdr:row>
      <xdr:rowOff>48688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5A953D18-75BE-47F0-8C73-0E25817E5A26}"/>
            </a:ext>
          </a:extLst>
        </xdr:cNvPr>
        <xdr:cNvSpPr/>
      </xdr:nvSpPr>
      <xdr:spPr>
        <a:xfrm>
          <a:off x="14168437" y="25839642"/>
          <a:ext cx="2226467" cy="307546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tx1"/>
              </a:solidFill>
            </a:rPr>
            <a:t>Eficiência</a:t>
          </a:r>
          <a:r>
            <a:rPr lang="pt-BR" sz="2400" b="1" baseline="0">
              <a:solidFill>
                <a:schemeClr val="tx1"/>
              </a:solidFill>
            </a:rPr>
            <a:t> Máq.</a:t>
          </a:r>
          <a:endParaRPr lang="pt-BR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66381</xdr:colOff>
      <xdr:row>111</xdr:row>
      <xdr:rowOff>124011</xdr:rowOff>
    </xdr:from>
    <xdr:to>
      <xdr:col>14</xdr:col>
      <xdr:colOff>666816</xdr:colOff>
      <xdr:row>114</xdr:row>
      <xdr:rowOff>23158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E104B2E9-BA7A-9CDE-DE40-6F9EF20E8313}"/>
            </a:ext>
          </a:extLst>
        </xdr:cNvPr>
        <xdr:cNvSpPr/>
      </xdr:nvSpPr>
      <xdr:spPr>
        <a:xfrm>
          <a:off x="66381" y="20698011"/>
          <a:ext cx="16340498" cy="470647"/>
        </a:xfrm>
        <a:prstGeom prst="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/>
            <a:t>Meta</a:t>
          </a:r>
          <a:r>
            <a:rPr lang="pt-BR" sz="2800" b="1" baseline="0"/>
            <a:t> de Produção x Real</a:t>
          </a:r>
          <a:endParaRPr lang="pt-BR" sz="2800" b="1"/>
        </a:p>
      </xdr:txBody>
    </xdr:sp>
    <xdr:clientData/>
  </xdr:twoCellAnchor>
  <xdr:twoCellAnchor>
    <xdr:from>
      <xdr:col>0</xdr:col>
      <xdr:colOff>56027</xdr:colOff>
      <xdr:row>54</xdr:row>
      <xdr:rowOff>100854</xdr:rowOff>
    </xdr:from>
    <xdr:to>
      <xdr:col>14</xdr:col>
      <xdr:colOff>623443</xdr:colOff>
      <xdr:row>57</xdr:row>
      <xdr:rowOff>1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D6F8474E-50E0-44D7-8E17-EE0F9AE666F9}"/>
            </a:ext>
          </a:extLst>
        </xdr:cNvPr>
        <xdr:cNvSpPr/>
      </xdr:nvSpPr>
      <xdr:spPr>
        <a:xfrm>
          <a:off x="56027" y="9887792"/>
          <a:ext cx="16307479" cy="470647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/>
            <a:t>Produtividade</a:t>
          </a:r>
          <a:r>
            <a:rPr lang="pt-BR" sz="2800" b="1" baseline="0"/>
            <a:t> Fornos</a:t>
          </a:r>
          <a:endParaRPr lang="pt-BR" sz="2800" b="1"/>
        </a:p>
      </xdr:txBody>
    </xdr:sp>
    <xdr:clientData/>
  </xdr:twoCellAnchor>
  <xdr:twoCellAnchor>
    <xdr:from>
      <xdr:col>0</xdr:col>
      <xdr:colOff>68708</xdr:colOff>
      <xdr:row>84</xdr:row>
      <xdr:rowOff>162285</xdr:rowOff>
    </xdr:from>
    <xdr:to>
      <xdr:col>14</xdr:col>
      <xdr:colOff>666748</xdr:colOff>
      <xdr:row>87</xdr:row>
      <xdr:rowOff>61432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C8CFA421-06F7-4DFD-9519-B9FDD2905F12}"/>
            </a:ext>
          </a:extLst>
        </xdr:cNvPr>
        <xdr:cNvSpPr/>
      </xdr:nvSpPr>
      <xdr:spPr>
        <a:xfrm>
          <a:off x="68708" y="15664223"/>
          <a:ext cx="16338103" cy="470647"/>
        </a:xfrm>
        <a:prstGeom prst="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/>
            <a:t>Carga</a:t>
          </a:r>
          <a:r>
            <a:rPr lang="pt-BR" sz="2800" b="1" baseline="0"/>
            <a:t> Horaria x Tempo Produtivo</a:t>
          </a:r>
          <a:endParaRPr lang="pt-BR" sz="2800" b="1"/>
        </a:p>
      </xdr:txBody>
    </xdr:sp>
    <xdr:clientData/>
  </xdr:twoCellAnchor>
  <xdr:twoCellAnchor>
    <xdr:from>
      <xdr:col>0</xdr:col>
      <xdr:colOff>44824</xdr:colOff>
      <xdr:row>27</xdr:row>
      <xdr:rowOff>63481</xdr:rowOff>
    </xdr:from>
    <xdr:to>
      <xdr:col>14</xdr:col>
      <xdr:colOff>574667</xdr:colOff>
      <xdr:row>29</xdr:row>
      <xdr:rowOff>153128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0D4F6B17-7346-4C1B-B40D-9E25C932C551}"/>
            </a:ext>
          </a:extLst>
        </xdr:cNvPr>
        <xdr:cNvSpPr/>
      </xdr:nvSpPr>
      <xdr:spPr>
        <a:xfrm>
          <a:off x="44824" y="4897419"/>
          <a:ext cx="16269906" cy="470647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 baseline="0"/>
            <a:t>Tempo de Produção Ensaques</a:t>
          </a:r>
          <a:endParaRPr lang="pt-BR" sz="2800" b="1"/>
        </a:p>
      </xdr:txBody>
    </xdr:sp>
    <xdr:clientData/>
  </xdr:twoCellAnchor>
  <xdr:twoCellAnchor editAs="absolute">
    <xdr:from>
      <xdr:col>0</xdr:col>
      <xdr:colOff>96677</xdr:colOff>
      <xdr:row>0</xdr:row>
      <xdr:rowOff>55722</xdr:rowOff>
    </xdr:from>
    <xdr:to>
      <xdr:col>14</xdr:col>
      <xdr:colOff>777714</xdr:colOff>
      <xdr:row>4</xdr:row>
      <xdr:rowOff>206216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1" name="Data 1">
              <a:extLst>
                <a:ext uri="{FF2B5EF4-FFF2-40B4-BE49-F238E27FC236}">
                  <a16:creationId xmlns:a16="http://schemas.microsoft.com/office/drawing/2014/main" id="{EECDF4D4-7386-2725-B77B-BBA228E8E1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342" y="59532"/>
              <a:ext cx="16430625" cy="966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>
    <xdr:from>
      <xdr:col>13</xdr:col>
      <xdr:colOff>273048</xdr:colOff>
      <xdr:row>85</xdr:row>
      <xdr:rowOff>59532</xdr:rowOff>
    </xdr:from>
    <xdr:to>
      <xdr:col>14</xdr:col>
      <xdr:colOff>439735</xdr:colOff>
      <xdr:row>86</xdr:row>
      <xdr:rowOff>166689</xdr:rowOff>
    </xdr:to>
    <xdr:sp macro="" textlink="$AC$27">
      <xdr:nvSpPr>
        <xdr:cNvPr id="19" name="Retângulo 18">
          <a:extLst>
            <a:ext uri="{FF2B5EF4-FFF2-40B4-BE49-F238E27FC236}">
              <a16:creationId xmlns:a16="http://schemas.microsoft.com/office/drawing/2014/main" id="{A1115D44-C0E2-FF4F-A121-C6E6BFA8B99D}"/>
            </a:ext>
          </a:extLst>
        </xdr:cNvPr>
        <xdr:cNvSpPr/>
      </xdr:nvSpPr>
      <xdr:spPr>
        <a:xfrm>
          <a:off x="14882017" y="15751970"/>
          <a:ext cx="1297781" cy="297657"/>
        </a:xfrm>
        <a:prstGeom prst="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BEDB6657-BA65-425B-8DC7-B71EC6F9C2CF}" type="TxLink">
            <a:rPr lang="en-US" sz="2000" b="1">
              <a:solidFill>
                <a:schemeClr val="tx1"/>
              </a:solidFill>
              <a:latin typeface="+mn-lt"/>
              <a:ea typeface="+mn-ea"/>
              <a:cs typeface="+mn-cs"/>
            </a:rPr>
            <a:pPr marL="0" indent="0" algn="ctr"/>
            <a:t>18:28:51</a:t>
          </a:fld>
          <a:endParaRPr lang="pt-BR" sz="20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452435</xdr:colOff>
      <xdr:row>85</xdr:row>
      <xdr:rowOff>59533</xdr:rowOff>
    </xdr:from>
    <xdr:to>
      <xdr:col>13</xdr:col>
      <xdr:colOff>237329</xdr:colOff>
      <xdr:row>86</xdr:row>
      <xdr:rowOff>176579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15CFBB17-81EA-D25E-B5CE-CFBEDF698360}"/>
            </a:ext>
          </a:extLst>
        </xdr:cNvPr>
        <xdr:cNvSpPr/>
      </xdr:nvSpPr>
      <xdr:spPr>
        <a:xfrm>
          <a:off x="12442029" y="15751971"/>
          <a:ext cx="2404269" cy="307546"/>
        </a:xfrm>
        <a:prstGeom prst="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000" b="1">
              <a:solidFill>
                <a:schemeClr val="tx1"/>
              </a:solidFill>
            </a:rPr>
            <a:t>Média Carga</a:t>
          </a:r>
          <a:r>
            <a:rPr lang="pt-BR" sz="2000" b="1" baseline="0">
              <a:solidFill>
                <a:schemeClr val="tx1"/>
              </a:solidFill>
            </a:rPr>
            <a:t> Hóraria</a:t>
          </a:r>
          <a:endParaRPr lang="pt-BR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31420</xdr:colOff>
      <xdr:row>54</xdr:row>
      <xdr:rowOff>184198</xdr:rowOff>
    </xdr:from>
    <xdr:to>
      <xdr:col>14</xdr:col>
      <xdr:colOff>198107</xdr:colOff>
      <xdr:row>56</xdr:row>
      <xdr:rowOff>100855</xdr:rowOff>
    </xdr:to>
    <xdr:sp macro="" textlink="$P$27">
      <xdr:nvSpPr>
        <xdr:cNvPr id="25" name="Retângulo 24">
          <a:extLst>
            <a:ext uri="{FF2B5EF4-FFF2-40B4-BE49-F238E27FC236}">
              <a16:creationId xmlns:a16="http://schemas.microsoft.com/office/drawing/2014/main" id="{3F83D520-B68D-A748-1F08-9D7B3E49A460}"/>
            </a:ext>
          </a:extLst>
        </xdr:cNvPr>
        <xdr:cNvSpPr/>
      </xdr:nvSpPr>
      <xdr:spPr>
        <a:xfrm>
          <a:off x="14640389" y="10006854"/>
          <a:ext cx="1297781" cy="297657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4B296B78-06F4-4F33-AE81-DCBDC69570FF}" type="TxLink">
            <a:rPr lang="en-US" sz="20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15:35:27</a:t>
          </a:fld>
          <a:endParaRPr lang="pt-BR" sz="40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381000</xdr:colOff>
      <xdr:row>54</xdr:row>
      <xdr:rowOff>184199</xdr:rowOff>
    </xdr:from>
    <xdr:to>
      <xdr:col>12</xdr:col>
      <xdr:colOff>1281577</xdr:colOff>
      <xdr:row>56</xdr:row>
      <xdr:rowOff>110745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A4D0BD5D-1858-0BB7-6634-AFEF57E3AC48}"/>
            </a:ext>
          </a:extLst>
        </xdr:cNvPr>
        <xdr:cNvSpPr/>
      </xdr:nvSpPr>
      <xdr:spPr>
        <a:xfrm>
          <a:off x="12370594" y="9971137"/>
          <a:ext cx="2234077" cy="307546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000" b="1">
              <a:solidFill>
                <a:schemeClr val="tx1"/>
              </a:solidFill>
            </a:rPr>
            <a:t>Média T/Prod. F1</a:t>
          </a:r>
        </a:p>
      </xdr:txBody>
    </xdr:sp>
    <xdr:clientData/>
  </xdr:twoCellAnchor>
  <xdr:twoCellAnchor>
    <xdr:from>
      <xdr:col>13</xdr:col>
      <xdr:colOff>8310</xdr:colOff>
      <xdr:row>27</xdr:row>
      <xdr:rowOff>170638</xdr:rowOff>
    </xdr:from>
    <xdr:to>
      <xdr:col>14</xdr:col>
      <xdr:colOff>174997</xdr:colOff>
      <xdr:row>29</xdr:row>
      <xdr:rowOff>87295</xdr:rowOff>
    </xdr:to>
    <xdr:sp macro="" textlink="$W$27">
      <xdr:nvSpPr>
        <xdr:cNvPr id="27" name="Retângulo 26">
          <a:extLst>
            <a:ext uri="{FF2B5EF4-FFF2-40B4-BE49-F238E27FC236}">
              <a16:creationId xmlns:a16="http://schemas.microsoft.com/office/drawing/2014/main" id="{D5C035C5-BE57-46DE-8999-790D5F9B4EE0}"/>
            </a:ext>
          </a:extLst>
        </xdr:cNvPr>
        <xdr:cNvSpPr/>
      </xdr:nvSpPr>
      <xdr:spPr>
        <a:xfrm>
          <a:off x="14617279" y="4849794"/>
          <a:ext cx="1297781" cy="297657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897E951-FCB1-4F51-A112-BB1A31E2792F}" type="TxLink">
            <a:rPr lang="en-US" sz="2000" b="1" i="0" u="none" strike="noStrike">
              <a:solidFill>
                <a:schemeClr val="tx1"/>
              </a:solidFill>
              <a:latin typeface="Calibri"/>
              <a:ea typeface="+mn-ea"/>
              <a:cs typeface="Calibri"/>
            </a:rPr>
            <a:pPr marL="0" indent="0" algn="ctr"/>
            <a:t>15:07:24</a:t>
          </a:fld>
          <a:endParaRPr lang="pt-BR" sz="40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523875</xdr:colOff>
      <xdr:row>27</xdr:row>
      <xdr:rowOff>170639</xdr:rowOff>
    </xdr:from>
    <xdr:to>
      <xdr:col>12</xdr:col>
      <xdr:colOff>1258467</xdr:colOff>
      <xdr:row>29</xdr:row>
      <xdr:rowOff>97185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563191D0-C72E-42C6-92F1-5A0796A8D7BF}"/>
            </a:ext>
          </a:extLst>
        </xdr:cNvPr>
        <xdr:cNvSpPr/>
      </xdr:nvSpPr>
      <xdr:spPr>
        <a:xfrm>
          <a:off x="12513469" y="4814077"/>
          <a:ext cx="2068092" cy="307546"/>
        </a:xfrm>
        <a:prstGeom prst="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tx1"/>
              </a:solidFill>
            </a:rPr>
            <a:t>Média T/Prod. E1</a:t>
          </a:r>
        </a:p>
      </xdr:txBody>
    </xdr:sp>
    <xdr:clientData/>
  </xdr:twoCellAnchor>
  <xdr:twoCellAnchor>
    <xdr:from>
      <xdr:col>13</xdr:col>
      <xdr:colOff>160836</xdr:colOff>
      <xdr:row>112</xdr:row>
      <xdr:rowOff>28762</xdr:rowOff>
    </xdr:from>
    <xdr:to>
      <xdr:col>14</xdr:col>
      <xdr:colOff>327523</xdr:colOff>
      <xdr:row>113</xdr:row>
      <xdr:rowOff>135919</xdr:rowOff>
    </xdr:to>
    <xdr:sp macro="" textlink="$N$27">
      <xdr:nvSpPr>
        <xdr:cNvPr id="29" name="Retângulo 28">
          <a:extLst>
            <a:ext uri="{FF2B5EF4-FFF2-40B4-BE49-F238E27FC236}">
              <a16:creationId xmlns:a16="http://schemas.microsoft.com/office/drawing/2014/main" id="{0A6F7369-C833-4AB6-939C-06FA28FB78F0}"/>
            </a:ext>
          </a:extLst>
        </xdr:cNvPr>
        <xdr:cNvSpPr/>
      </xdr:nvSpPr>
      <xdr:spPr>
        <a:xfrm>
          <a:off x="14769805" y="20900418"/>
          <a:ext cx="1297781" cy="297657"/>
        </a:xfrm>
        <a:prstGeom prst="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fld id="{3D873D22-9886-4E24-95D8-412B487601B5}" type="TxLink">
            <a:rPr lang="en-US" sz="2000" b="1">
              <a:solidFill>
                <a:schemeClr val="tx1"/>
              </a:solidFill>
              <a:latin typeface="+mn-lt"/>
              <a:ea typeface="+mn-ea"/>
              <a:cs typeface="+mn-cs"/>
            </a:rPr>
            <a:pPr marL="0" indent="0" algn="ctr"/>
            <a:t>3.234</a:t>
          </a:fld>
          <a:endParaRPr lang="pt-BR" sz="20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935537</xdr:colOff>
      <xdr:row>112</xdr:row>
      <xdr:rowOff>28763</xdr:rowOff>
    </xdr:from>
    <xdr:to>
      <xdr:col>13</xdr:col>
      <xdr:colOff>125118</xdr:colOff>
      <xdr:row>113</xdr:row>
      <xdr:rowOff>145809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1206384F-A077-4D55-A85E-FEE99F9832B4}"/>
            </a:ext>
          </a:extLst>
        </xdr:cNvPr>
        <xdr:cNvSpPr/>
      </xdr:nvSpPr>
      <xdr:spPr>
        <a:xfrm>
          <a:off x="12925131" y="20900419"/>
          <a:ext cx="1808956" cy="307546"/>
        </a:xfrm>
        <a:prstGeom prst="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2000" b="1">
              <a:solidFill>
                <a:schemeClr val="tx1"/>
              </a:solidFill>
            </a:rPr>
            <a:t>Produção/HR</a:t>
          </a:r>
        </a:p>
      </xdr:txBody>
    </xdr:sp>
    <xdr:clientData/>
  </xdr:twoCellAnchor>
  <xdr:twoCellAnchor>
    <xdr:from>
      <xdr:col>1</xdr:col>
      <xdr:colOff>0</xdr:colOff>
      <xdr:row>145</xdr:row>
      <xdr:rowOff>97718</xdr:rowOff>
    </xdr:from>
    <xdr:to>
      <xdr:col>14</xdr:col>
      <xdr:colOff>727703</xdr:colOff>
      <xdr:row>169</xdr:row>
      <xdr:rowOff>28215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A74B4D8D-69A2-4CFE-88E1-42C715FFD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9690</xdr:colOff>
      <xdr:row>143</xdr:row>
      <xdr:rowOff>0</xdr:rowOff>
    </xdr:from>
    <xdr:to>
      <xdr:col>14</xdr:col>
      <xdr:colOff>726281</xdr:colOff>
      <xdr:row>145</xdr:row>
      <xdr:rowOff>89647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E76D8402-3166-42BF-B3FC-15BA1BC957E2}"/>
            </a:ext>
          </a:extLst>
        </xdr:cNvPr>
        <xdr:cNvSpPr/>
      </xdr:nvSpPr>
      <xdr:spPr>
        <a:xfrm>
          <a:off x="128753" y="33408938"/>
          <a:ext cx="16337591" cy="470647"/>
        </a:xfrm>
        <a:prstGeom prst="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/>
            <a:t>Carga</a:t>
          </a:r>
          <a:r>
            <a:rPr lang="pt-BR" sz="2800" b="1" baseline="0"/>
            <a:t> Horaria x Tempo Produtivo</a:t>
          </a:r>
          <a:endParaRPr lang="pt-BR" sz="28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0.90611</cdr:x>
      <cdr:y>0.08269</cdr:y>
    </cdr:from>
    <cdr:to>
      <cdr:x>0.98549</cdr:x>
      <cdr:y>0.1488</cdr:y>
    </cdr:to>
    <cdr:sp macro="" textlink="BD_PROD!$AA$27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A1115D44-C0E2-FF4F-A121-C6E6BFA8B99D}"/>
            </a:ext>
          </a:extLst>
        </cdr:cNvPr>
        <cdr:cNvSpPr/>
      </cdr:nvSpPr>
      <cdr:spPr>
        <a:xfrm xmlns:a="http://schemas.openxmlformats.org/drawingml/2006/main">
          <a:off x="14813802" y="372297"/>
          <a:ext cx="1297760" cy="297660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F451AAB8-E237-4447-8C21-B8E307738149}" type="TxLink">
            <a:rPr lang="en-US" sz="2000" b="1">
              <a:solidFill>
                <a:schemeClr val="tx1"/>
              </a:solidFill>
              <a:latin typeface="+mn-lt"/>
              <a:ea typeface="+mn-ea"/>
              <a:cs typeface="+mn-cs"/>
            </a:rPr>
            <a:pPr marL="0" indent="0" algn="ctr"/>
            <a:t>01:49:31</a:t>
          </a:fld>
          <a:endParaRPr lang="pt-BR" sz="2000" b="1">
            <a:solidFill>
              <a:schemeClr val="tx1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0.75686</cdr:x>
      <cdr:y>0.08269</cdr:y>
    </cdr:from>
    <cdr:to>
      <cdr:x>0.90392</cdr:x>
      <cdr:y>0.15099</cdr:y>
    </cdr:to>
    <cdr:sp macro="" textlink="">
      <cdr:nvSpPr>
        <cdr:cNvPr id="3" name="Retângulo 2">
          <a:extLst xmlns:a="http://schemas.openxmlformats.org/drawingml/2006/main">
            <a:ext uri="{FF2B5EF4-FFF2-40B4-BE49-F238E27FC236}">
              <a16:creationId xmlns:a16="http://schemas.microsoft.com/office/drawing/2014/main" id="{15CFBB17-81EA-D25E-B5CE-CFBEDF698360}"/>
            </a:ext>
          </a:extLst>
        </cdr:cNvPr>
        <cdr:cNvSpPr/>
      </cdr:nvSpPr>
      <cdr:spPr>
        <a:xfrm xmlns:a="http://schemas.openxmlformats.org/drawingml/2006/main">
          <a:off x="12373758" y="372297"/>
          <a:ext cx="2404240" cy="307521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2000" b="1" baseline="0">
              <a:solidFill>
                <a:schemeClr val="tx1"/>
              </a:solidFill>
            </a:rPr>
            <a:t>Média Startup</a:t>
          </a:r>
          <a:endParaRPr lang="pt-BR" sz="2000" b="1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0.90611</cdr:x>
      <cdr:y>0.00599</cdr:y>
    </cdr:from>
    <cdr:to>
      <cdr:x>0.98549</cdr:x>
      <cdr:y>0.0721</cdr:y>
    </cdr:to>
    <cdr:sp macro="" textlink="BD_PROD!$O$27">
      <cdr:nvSpPr>
        <cdr:cNvPr id="4" name="Retângulo 3">
          <a:extLst xmlns:a="http://schemas.openxmlformats.org/drawingml/2006/main">
            <a:ext uri="{FF2B5EF4-FFF2-40B4-BE49-F238E27FC236}">
              <a16:creationId xmlns:a16="http://schemas.microsoft.com/office/drawing/2014/main" id="{426BD8BB-7776-2C92-B205-D3AB6D706D4D}"/>
            </a:ext>
          </a:extLst>
        </cdr:cNvPr>
        <cdr:cNvSpPr/>
      </cdr:nvSpPr>
      <cdr:spPr>
        <a:xfrm xmlns:a="http://schemas.openxmlformats.org/drawingml/2006/main">
          <a:off x="14813801" y="26991"/>
          <a:ext cx="1297760" cy="297660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2222A838-BF07-4C41-A93E-217EEFA62B08}" type="TxLink">
            <a:rPr lang="en-US" sz="20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15:27:57</a:t>
          </a:fld>
          <a:endParaRPr lang="pt-BR" sz="6600" b="1">
            <a:solidFill>
              <a:schemeClr val="tx1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0.75686</cdr:x>
      <cdr:y>0.00599</cdr:y>
    </cdr:from>
    <cdr:to>
      <cdr:x>0.90392</cdr:x>
      <cdr:y>0.07429</cdr:y>
    </cdr:to>
    <cdr:sp macro="" textlink="">
      <cdr:nvSpPr>
        <cdr:cNvPr id="5" name="Retângulo 4">
          <a:extLst xmlns:a="http://schemas.openxmlformats.org/drawingml/2006/main">
            <a:ext uri="{FF2B5EF4-FFF2-40B4-BE49-F238E27FC236}">
              <a16:creationId xmlns:a16="http://schemas.microsoft.com/office/drawing/2014/main" id="{F5053DE6-5995-9488-C9E5-FAE6F9E05AC6}"/>
            </a:ext>
          </a:extLst>
        </cdr:cNvPr>
        <cdr:cNvSpPr/>
      </cdr:nvSpPr>
      <cdr:spPr>
        <a:xfrm xmlns:a="http://schemas.openxmlformats.org/drawingml/2006/main">
          <a:off x="12373757" y="26991"/>
          <a:ext cx="2404240" cy="307520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2000" b="1">
              <a:solidFill>
                <a:schemeClr val="tx1"/>
              </a:solidFill>
            </a:rPr>
            <a:t>Média</a:t>
          </a:r>
          <a:r>
            <a:rPr lang="pt-BR" sz="2000" b="1" baseline="0">
              <a:solidFill>
                <a:schemeClr val="tx1"/>
              </a:solidFill>
            </a:rPr>
            <a:t> T/Produtivo</a:t>
          </a:r>
          <a:endParaRPr lang="pt-BR" sz="20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0.90163</cdr:x>
      <cdr:y>0.01612</cdr:y>
    </cdr:from>
    <cdr:to>
      <cdr:x>0.981</cdr:x>
      <cdr:y>0.08041</cdr:y>
    </cdr:to>
    <cdr:sp macro="" textlink="BD_PROD!$M$27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0A6F7369-C833-4AB6-939C-06FA28FB78F0}"/>
            </a:ext>
          </a:extLst>
        </cdr:cNvPr>
        <cdr:cNvSpPr/>
      </cdr:nvSpPr>
      <cdr:spPr>
        <a:xfrm xmlns:a="http://schemas.openxmlformats.org/drawingml/2006/main">
          <a:off x="14742318" y="74613"/>
          <a:ext cx="1297781" cy="297657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C66A30B7-AE49-4666-8782-90D1514F6BA5}" type="TxLink">
            <a:rPr lang="en-US" sz="2000" b="1">
              <a:solidFill>
                <a:schemeClr val="tx1"/>
              </a:solidFill>
              <a:latin typeface="+mn-lt"/>
              <a:ea typeface="+mn-ea"/>
              <a:cs typeface="+mn-cs"/>
            </a:rPr>
            <a:pPr marL="0" indent="0" algn="ctr"/>
            <a:t>976.050</a:t>
          </a:fld>
          <a:endParaRPr lang="pt-BR" sz="2000" b="1">
            <a:solidFill>
              <a:schemeClr val="tx1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0.78881</cdr:x>
      <cdr:y>0.01612</cdr:y>
    </cdr:from>
    <cdr:to>
      <cdr:x>0.89944</cdr:x>
      <cdr:y>0.08255</cdr:y>
    </cdr:to>
    <cdr:sp macro="" textlink="">
      <cdr:nvSpPr>
        <cdr:cNvPr id="3" name="Retângulo 2">
          <a:extLst xmlns:a="http://schemas.openxmlformats.org/drawingml/2006/main">
            <a:ext uri="{FF2B5EF4-FFF2-40B4-BE49-F238E27FC236}">
              <a16:creationId xmlns:a16="http://schemas.microsoft.com/office/drawing/2014/main" id="{1206384F-A077-4D55-A85E-FEE99F9832B4}"/>
            </a:ext>
          </a:extLst>
        </cdr:cNvPr>
        <cdr:cNvSpPr/>
      </cdr:nvSpPr>
      <cdr:spPr>
        <a:xfrm xmlns:a="http://schemas.openxmlformats.org/drawingml/2006/main">
          <a:off x="12897644" y="74614"/>
          <a:ext cx="1808956" cy="307546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2000" b="1">
              <a:solidFill>
                <a:schemeClr val="tx1"/>
              </a:solidFill>
            </a:rPr>
            <a:t>Vol.</a:t>
          </a:r>
          <a:r>
            <a:rPr lang="pt-BR" sz="2000" b="1" baseline="0">
              <a:solidFill>
                <a:schemeClr val="tx1"/>
              </a:solidFill>
            </a:rPr>
            <a:t> Produção</a:t>
          </a:r>
          <a:endParaRPr lang="pt-BR" sz="2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0.89401</cdr:x>
      <cdr:y>0.01368</cdr:y>
    </cdr:from>
    <cdr:to>
      <cdr:x>0.97363</cdr:x>
      <cdr:y>0.07863</cdr:y>
    </cdr:to>
    <cdr:sp macro="" textlink="BD_PROD!$X$27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D5C035C5-BE57-46DE-8999-790D5F9B4EE0}"/>
            </a:ext>
          </a:extLst>
        </cdr:cNvPr>
        <cdr:cNvSpPr/>
      </cdr:nvSpPr>
      <cdr:spPr>
        <a:xfrm xmlns:a="http://schemas.openxmlformats.org/drawingml/2006/main">
          <a:off x="14572829" y="62707"/>
          <a:ext cx="1297781" cy="297657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hemeClr val="accent3"/>
        </a:lnRef>
        <a:fillRef xmlns:a="http://schemas.openxmlformats.org/drawingml/2006/main" idx="3">
          <a:schemeClr val="accent3"/>
        </a:fillRef>
        <a:effectRef xmlns:a="http://schemas.openxmlformats.org/drawingml/2006/main" idx="3">
          <a:schemeClr val="accent3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20A4CDB0-F04E-4060-9A08-D806A03F5D31}" type="TxLink">
            <a:rPr lang="en-US" sz="2000" b="1" i="0" u="none" strike="noStrike">
              <a:solidFill>
                <a:schemeClr val="tx1"/>
              </a:solidFill>
              <a:latin typeface="Calibri"/>
              <a:ea typeface="+mn-ea"/>
              <a:cs typeface="Calibri"/>
            </a:rPr>
            <a:pPr marL="0" indent="0" algn="ctr"/>
            <a:t>15:48:30</a:t>
          </a:fld>
          <a:endParaRPr lang="pt-BR" sz="4000" b="1">
            <a:solidFill>
              <a:schemeClr val="tx1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0.76495</cdr:x>
      <cdr:y>0.01368</cdr:y>
    </cdr:from>
    <cdr:to>
      <cdr:x>0.89182</cdr:x>
      <cdr:y>0.08079</cdr:y>
    </cdr:to>
    <cdr:sp macro="" textlink="">
      <cdr:nvSpPr>
        <cdr:cNvPr id="3" name="Retângulo 2">
          <a:extLst xmlns:a="http://schemas.openxmlformats.org/drawingml/2006/main">
            <a:ext uri="{FF2B5EF4-FFF2-40B4-BE49-F238E27FC236}">
              <a16:creationId xmlns:a16="http://schemas.microsoft.com/office/drawing/2014/main" id="{563191D0-C72E-42C6-92F1-5A0796A8D7BF}"/>
            </a:ext>
          </a:extLst>
        </cdr:cNvPr>
        <cdr:cNvSpPr/>
      </cdr:nvSpPr>
      <cdr:spPr>
        <a:xfrm xmlns:a="http://schemas.openxmlformats.org/drawingml/2006/main">
          <a:off x="12469019" y="62708"/>
          <a:ext cx="2068092" cy="307546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hemeClr val="accent3"/>
        </a:lnRef>
        <a:fillRef xmlns:a="http://schemas.openxmlformats.org/drawingml/2006/main" idx="3">
          <a:schemeClr val="accent3"/>
        </a:fillRef>
        <a:effectRef xmlns:a="http://schemas.openxmlformats.org/drawingml/2006/main" idx="3">
          <a:schemeClr val="accent3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2000" b="1">
              <a:solidFill>
                <a:schemeClr val="tx1"/>
              </a:solidFill>
            </a:rPr>
            <a:t>Média T/Prod. E2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0.89311</cdr:x>
      <cdr:y>0.01193</cdr:y>
    </cdr:from>
    <cdr:to>
      <cdr:x>0.97251</cdr:x>
      <cdr:y>0.06857</cdr:y>
    </cdr:to>
    <cdr:sp macro="" textlink="BD_PROD!$Q$27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3F83D520-B68D-A748-1F08-9D7B3E49A460}"/>
            </a:ext>
          </a:extLst>
        </cdr:cNvPr>
        <cdr:cNvSpPr/>
      </cdr:nvSpPr>
      <cdr:spPr>
        <a:xfrm xmlns:a="http://schemas.openxmlformats.org/drawingml/2006/main">
          <a:off x="14595939" y="62706"/>
          <a:ext cx="1297781" cy="297657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D5529081-D71E-41B3-B2D6-C42B5EE87650}" type="TxLink">
            <a:rPr lang="en-US" sz="20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16:10:03</a:t>
          </a:fld>
          <a:endParaRPr lang="pt-BR" sz="4000" b="1">
            <a:solidFill>
              <a:schemeClr val="tx1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0.75422</cdr:x>
      <cdr:y>0.01193</cdr:y>
    </cdr:from>
    <cdr:to>
      <cdr:x>0.89092</cdr:x>
      <cdr:y>0.07045</cdr:y>
    </cdr:to>
    <cdr:sp macro="" textlink="">
      <cdr:nvSpPr>
        <cdr:cNvPr id="3" name="Retângulo 2">
          <a:extLst xmlns:a="http://schemas.openxmlformats.org/drawingml/2006/main">
            <a:ext uri="{FF2B5EF4-FFF2-40B4-BE49-F238E27FC236}">
              <a16:creationId xmlns:a16="http://schemas.microsoft.com/office/drawing/2014/main" id="{A4D0BD5D-1858-0BB7-6634-AFEF57E3AC48}"/>
            </a:ext>
          </a:extLst>
        </cdr:cNvPr>
        <cdr:cNvSpPr/>
      </cdr:nvSpPr>
      <cdr:spPr>
        <a:xfrm xmlns:a="http://schemas.openxmlformats.org/drawingml/2006/main">
          <a:off x="12326144" y="62707"/>
          <a:ext cx="2234077" cy="307546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2000" b="1">
              <a:solidFill>
                <a:schemeClr val="tx1"/>
              </a:solidFill>
            </a:rPr>
            <a:t>Média T/Prod. F1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0.9134</cdr:x>
      <cdr:y>0.01393</cdr:y>
    </cdr:from>
    <cdr:to>
      <cdr:x>0.99278</cdr:x>
      <cdr:y>0.08004</cdr:y>
    </cdr:to>
    <cdr:sp macro="" textlink="BD_PROD!$V$27">
      <cdr:nvSpPr>
        <cdr:cNvPr id="4" name="Retângulo 3">
          <a:extLst xmlns:a="http://schemas.openxmlformats.org/drawingml/2006/main">
            <a:ext uri="{FF2B5EF4-FFF2-40B4-BE49-F238E27FC236}">
              <a16:creationId xmlns:a16="http://schemas.microsoft.com/office/drawing/2014/main" id="{426BD8BB-7776-2C92-B205-D3AB6D706D4D}"/>
            </a:ext>
          </a:extLst>
        </cdr:cNvPr>
        <cdr:cNvSpPr/>
      </cdr:nvSpPr>
      <cdr:spPr>
        <a:xfrm xmlns:a="http://schemas.openxmlformats.org/drawingml/2006/main">
          <a:off x="14932864" y="62710"/>
          <a:ext cx="1297760" cy="297660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8513F370-A31D-472E-BD65-7868C306839D}" type="TxLink">
            <a:rPr lang="en-US" sz="20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01:11:22</a:t>
          </a:fld>
          <a:endParaRPr lang="pt-BR" sz="6600" b="1">
            <a:solidFill>
              <a:schemeClr val="tx1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0.76415</cdr:x>
      <cdr:y>0.01393</cdr:y>
    </cdr:from>
    <cdr:to>
      <cdr:x>0.91121</cdr:x>
      <cdr:y>0.08223</cdr:y>
    </cdr:to>
    <cdr:sp macro="" textlink="">
      <cdr:nvSpPr>
        <cdr:cNvPr id="5" name="Retângulo 4">
          <a:extLst xmlns:a="http://schemas.openxmlformats.org/drawingml/2006/main">
            <a:ext uri="{FF2B5EF4-FFF2-40B4-BE49-F238E27FC236}">
              <a16:creationId xmlns:a16="http://schemas.microsoft.com/office/drawing/2014/main" id="{F5053DE6-5995-9488-C9E5-FAE6F9E05AC6}"/>
            </a:ext>
          </a:extLst>
        </cdr:cNvPr>
        <cdr:cNvSpPr/>
      </cdr:nvSpPr>
      <cdr:spPr>
        <a:xfrm xmlns:a="http://schemas.openxmlformats.org/drawingml/2006/main">
          <a:off x="12492820" y="62710"/>
          <a:ext cx="2404240" cy="307520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2000" b="1">
              <a:solidFill>
                <a:schemeClr val="tx1"/>
              </a:solidFill>
            </a:rPr>
            <a:t>Média</a:t>
          </a:r>
          <a:r>
            <a:rPr lang="pt-BR" sz="2000" b="1" baseline="0">
              <a:solidFill>
                <a:schemeClr val="tx1"/>
              </a:solidFill>
            </a:rPr>
            <a:t> T/Parado</a:t>
          </a:r>
          <a:endParaRPr lang="pt-BR" sz="2000" b="1">
            <a:solidFill>
              <a:schemeClr val="tx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929640</xdr:colOff>
      <xdr:row>2</xdr:row>
      <xdr:rowOff>0</xdr:rowOff>
    </xdr:from>
    <xdr:to>
      <xdr:col>10</xdr:col>
      <xdr:colOff>55245</xdr:colOff>
      <xdr:row>19</xdr:row>
      <xdr:rowOff>57150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ata ">
              <a:extLst>
                <a:ext uri="{FF2B5EF4-FFF2-40B4-BE49-F238E27FC236}">
                  <a16:creationId xmlns:a16="http://schemas.microsoft.com/office/drawing/2014/main" id="{0AD2A9AD-8FCD-29B5-0996-965430E172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3475" y="381000"/>
              <a:ext cx="109537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55245</xdr:colOff>
      <xdr:row>2</xdr:row>
      <xdr:rowOff>19051</xdr:rowOff>
    </xdr:from>
    <xdr:to>
      <xdr:col>13</xdr:col>
      <xdr:colOff>478155</xdr:colOff>
      <xdr:row>9</xdr:row>
      <xdr:rowOff>93345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etor">
              <a:extLst>
                <a:ext uri="{FF2B5EF4-FFF2-40B4-BE49-F238E27FC236}">
                  <a16:creationId xmlns:a16="http://schemas.microsoft.com/office/drawing/2014/main" id="{8F721B05-28DA-46E2-EC9A-19FB82A5E5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77575" y="390526"/>
              <a:ext cx="1009650" cy="20097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497205</xdr:colOff>
      <xdr:row>2</xdr:row>
      <xdr:rowOff>15240</xdr:rowOff>
    </xdr:from>
    <xdr:to>
      <xdr:col>15</xdr:col>
      <xdr:colOff>150495</xdr:colOff>
      <xdr:row>4</xdr:row>
      <xdr:rowOff>352425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Turno">
              <a:extLst>
                <a:ext uri="{FF2B5EF4-FFF2-40B4-BE49-F238E27FC236}">
                  <a16:creationId xmlns:a16="http://schemas.microsoft.com/office/drawing/2014/main" id="{37B99376-CEAF-DCE4-1299-9A9DE2E929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r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08180" y="396240"/>
              <a:ext cx="872490" cy="908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55245</xdr:colOff>
      <xdr:row>2</xdr:row>
      <xdr:rowOff>19050</xdr:rowOff>
    </xdr:from>
    <xdr:to>
      <xdr:col>12</xdr:col>
      <xdr:colOff>55245</xdr:colOff>
      <xdr:row>9</xdr:row>
      <xdr:rowOff>95249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Causa Raiz">
              <a:extLst>
                <a:ext uri="{FF2B5EF4-FFF2-40B4-BE49-F238E27FC236}">
                  <a16:creationId xmlns:a16="http://schemas.microsoft.com/office/drawing/2014/main" id="{D34B017C-9F05-DDA5-6813-1F61EED7B4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usa Raiz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48850" y="390526"/>
              <a:ext cx="1219200" cy="2228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45509</xdr:colOff>
      <xdr:row>12</xdr:row>
      <xdr:rowOff>22225</xdr:rowOff>
    </xdr:from>
    <xdr:to>
      <xdr:col>6</xdr:col>
      <xdr:colOff>173355</xdr:colOff>
      <xdr:row>37</xdr:row>
      <xdr:rowOff>20108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ta">
              <a:extLst>
                <a:ext uri="{FF2B5EF4-FFF2-40B4-BE49-F238E27FC236}">
                  <a16:creationId xmlns:a16="http://schemas.microsoft.com/office/drawing/2014/main" id="{A1039960-EE17-ACF4-240C-D9D6B2B4E0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34342" y="2339975"/>
              <a:ext cx="1828800" cy="47508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INDICADORES\EFICI&#202;NCIA%20DE%20F&#193;BRICA\EFICI&#202;NCIA%20DE%20F&#193;BRICA%20-%20AGOSTO.xlsx" TargetMode="External"/><Relationship Id="rId1" Type="http://schemas.openxmlformats.org/officeDocument/2006/relationships/externalLinkPath" Target="/INDICADORES/EFICI&#202;NCIA%20DE%20F&#193;BRICA/2025/EFICI&#202;NCIA%20DE%20F&#193;BRICA%20-%20AGO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_PROD"/>
      <sheetName val="BD_PARADAS"/>
      <sheetName val="RELATÓRIO_EFIC"/>
    </sheetNames>
    <sheetDataSet>
      <sheetData sheetId="0">
        <row r="3">
          <cell r="X3">
            <v>0.37812500000000004</v>
          </cell>
        </row>
        <row r="4">
          <cell r="X4">
            <v>0.30347222222222225</v>
          </cell>
        </row>
        <row r="5">
          <cell r="X5">
            <v>0.36076388888888888</v>
          </cell>
        </row>
        <row r="6">
          <cell r="X6">
            <v>0.37222222222222223</v>
          </cell>
        </row>
        <row r="7">
          <cell r="X7">
            <v>0.33958333333333335</v>
          </cell>
        </row>
        <row r="8">
          <cell r="X8">
            <v>0.34722222222222221</v>
          </cell>
        </row>
        <row r="9">
          <cell r="X9">
            <v>0.38437500000000002</v>
          </cell>
        </row>
        <row r="10">
          <cell r="X10">
            <v>0.32673611111111112</v>
          </cell>
        </row>
        <row r="11">
          <cell r="X11">
            <v>0.34479166666666672</v>
          </cell>
        </row>
        <row r="12">
          <cell r="X12">
            <v>0.37430555555555556</v>
          </cell>
        </row>
        <row r="13">
          <cell r="X13">
            <v>0.29340277777777779</v>
          </cell>
        </row>
        <row r="14">
          <cell r="X14">
            <v>0.34548611111111105</v>
          </cell>
        </row>
        <row r="15">
          <cell r="X15">
            <v>0.29652777777777783</v>
          </cell>
        </row>
        <row r="16">
          <cell r="X16">
            <v>0.24166666666666667</v>
          </cell>
        </row>
        <row r="17">
          <cell r="X17">
            <v>0.3888888888888889</v>
          </cell>
        </row>
        <row r="18">
          <cell r="X18">
            <v>0.36527777777777776</v>
          </cell>
        </row>
        <row r="19">
          <cell r="X19">
            <v>0.29270833333333335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Loguercio" refreshedDate="46090.538662384257" createdVersion="8" refreshedVersion="8" minRefreshableVersion="3" recordCount="20" xr:uid="{7A4D8F43-5D21-4B56-A1CF-2706063779A2}">
  <cacheSource type="worksheet">
    <worksheetSource ref="B6:AC26" sheet="BD_PROD"/>
  </cacheSource>
  <cacheFields count="31">
    <cacheField name="Data" numFmtId="14">
      <sharedItems containsSemiMixedTypes="0" containsNonDate="0" containsDate="1" containsString="0" minDate="2025-07-29T00:00:00" maxDate="2026-03-01T00:00:00" count="108"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2-07T00:00:00" u="1"/>
        <d v="2026-02-14T00:00:00" u="1"/>
        <d v="2026-02-21T00:00:00" u="1"/>
        <d v="2026-02-28T00:00:00" u="1"/>
        <d v="2026-01-05T00:00:00" u="1"/>
        <d v="2026-01-06T00:00:00" u="1"/>
        <d v="2026-01-07T00:00:00" u="1"/>
        <d v="2026-01-08T00:00:00" u="1"/>
        <d v="2026-01-09T00:00:00" u="1"/>
        <d v="2026-01-12T00:00:00" u="1"/>
        <d v="2026-01-13T00:00:00" u="1"/>
        <d v="2026-01-14T00:00:00" u="1"/>
        <d v="2026-01-15T00:00:00" u="1"/>
        <d v="2026-01-16T00:00:00" u="1"/>
        <d v="2026-01-19T00:00:00" u="1"/>
        <d v="2026-01-20T00:00:00" u="1"/>
        <d v="2026-01-21T00:00:00" u="1"/>
        <d v="2026-01-22T00:00:00" u="1"/>
        <d v="2026-01-23T00:00:00" u="1"/>
        <d v="2026-01-26T00:00:00" u="1"/>
        <d v="2026-01-27T00:00:00" u="1"/>
        <d v="2026-01-28T00:00:00" u="1"/>
        <d v="2026-01-29T00:00:00" u="1"/>
        <d v="2026-01-30T00:00:00" u="1"/>
        <d v="2026-01-17T00:00:00" u="1"/>
        <d v="2026-01-24T00:00:00" u="1"/>
        <d v="2026-01-31T00:00:00" u="1"/>
        <d v="2025-12-02T00:00:00" u="1"/>
        <d v="2025-12-03T00:00:00" u="1"/>
        <d v="2025-12-04T00:00:00" u="1"/>
        <d v="2025-12-05T00:00:00" u="1"/>
        <d v="2025-12-06T00:00:00" u="1"/>
        <d v="2025-12-09T00:00:00" u="1"/>
        <d v="2025-12-10T00:00:00" u="1"/>
        <d v="2025-12-11T00:00:00" u="1"/>
        <d v="2025-12-12T00:00:00" u="1"/>
        <d v="2025-10-01T00:00:00" u="1"/>
        <d v="2025-10-02T00:00:00" u="1"/>
        <d v="2025-10-03T00:00:00" u="1"/>
        <d v="2025-10-07T00:00:00" u="1"/>
        <d v="2025-10-08T00:00:00" u="1"/>
        <d v="2025-10-09T00:00:00" u="1"/>
        <d v="2025-10-10T00:00:00" u="1"/>
        <d v="2025-10-11T00:00:00" u="1"/>
        <d v="2025-10-15T00:00:00" u="1"/>
        <d v="2025-10-16T00:00:00" u="1"/>
        <d v="2025-10-17T00:00:00" u="1"/>
        <d v="2025-10-21T00:00:00" u="1"/>
        <d v="2025-10-22T00:00:00" u="1"/>
        <d v="2025-10-23T00:00:00" u="1"/>
        <d v="2025-10-24T00:00:00" u="1"/>
        <d v="2025-10-28T00:00:00" u="1"/>
        <d v="2025-10-29T00:00:00" u="1"/>
        <d v="2025-10-30T00:00:00" u="1"/>
        <d v="2025-10-31T00:00:00" u="1"/>
        <d v="2025-09-02T00:00:00" u="1"/>
        <d v="2025-09-03T00:00:00" u="1"/>
        <d v="2025-09-04T00:00:00" u="1"/>
        <d v="2025-09-05T00:00:00" u="1"/>
        <d v="2025-09-09T00:00:00" u="1"/>
        <d v="2025-09-10T00:00:00" u="1"/>
        <d v="2025-09-11T00:00:00" u="1"/>
        <d v="2025-09-16T00:00:00" u="1"/>
        <d v="2025-09-17T00:00:00" u="1"/>
        <d v="2025-09-18T00:00:00" u="1"/>
        <d v="2025-09-19T00:00:00" u="1"/>
        <d v="2025-09-24T00:00:00" u="1"/>
        <d v="2025-07-30T00:00:00" u="1"/>
        <d v="2025-07-31T00:00:00" u="1"/>
        <d v="2025-08-01T00:00:00" u="1"/>
        <d v="2025-08-05T00:00:00" u="1"/>
        <d v="2025-08-06T00:00:00" u="1"/>
        <d v="2025-08-07T00:00:00" u="1"/>
        <d v="2025-08-08T00:00:00" u="1"/>
        <d v="2025-08-12T00:00:00" u="1"/>
        <d v="2025-08-13T00:00:00" u="1"/>
        <d v="2025-08-14T00:00:00" u="1"/>
        <d v="2025-08-15T00:00:00" u="1"/>
        <d v="2025-08-19T00:00:00" u="1"/>
        <d v="2025-08-20T00:00:00" u="1"/>
        <d v="2025-08-21T00:00:00" u="1"/>
        <d v="2025-08-22T00:00:00" u="1"/>
        <d v="2025-08-26T00:00:00" u="1"/>
        <d v="2025-08-27T00:00:00" u="1"/>
        <d v="2025-08-28T00:00:00" u="1"/>
        <d v="2025-08-29T00:00:00" u="1"/>
        <d v="2025-08-25T00:00:00" u="1"/>
        <d v="2025-07-29T00:00:00" u="1"/>
      </sharedItems>
    </cacheField>
    <cacheField name="Meta da Produção" numFmtId="3">
      <sharedItems containsSemiMixedTypes="0" containsString="0" containsNumber="1" containsInteger="1" minValue="30195" maxValue="66277"/>
    </cacheField>
    <cacheField name="Início Start Fábrica" numFmtId="164">
      <sharedItems containsSemiMixedTypes="0" containsNonDate="0" containsDate="1" containsString="0" minDate="1899-12-30T21:00:00" maxDate="1899-12-30T21:00:00"/>
    </cacheField>
    <cacheField name="Início F1" numFmtId="164">
      <sharedItems containsSemiMixedTypes="0" containsNonDate="0" containsDate="1" containsString="0" minDate="1899-12-30T00:00:00" maxDate="1899-12-30T23:00:00"/>
    </cacheField>
    <cacheField name="Início F2" numFmtId="164">
      <sharedItems containsSemiMixedTypes="0" containsNonDate="0" containsDate="1" containsString="0" minDate="1899-12-30T22:30:00" maxDate="1899-12-30T23:44:00"/>
    </cacheField>
    <cacheField name="Fim F1" numFmtId="164">
      <sharedItems containsSemiMixedTypes="0" containsNonDate="0" containsDate="1" containsString="0" minDate="1899-12-30T00:00:00" maxDate="1899-12-30T17:12:00"/>
    </cacheField>
    <cacheField name="Fim F2" numFmtId="164">
      <sharedItems containsSemiMixedTypes="0" containsNonDate="0" containsDate="1" containsString="0" minDate="1899-12-30T06:15:00" maxDate="1899-12-30T17:18:00"/>
    </cacheField>
    <cacheField name="Início do Ensaque 1" numFmtId="164">
      <sharedItems containsSemiMixedTypes="0" containsNonDate="0" containsDate="1" containsString="0" minDate="1899-12-30T00:00:00" maxDate="1899-12-30T23:02:00"/>
    </cacheField>
    <cacheField name="Fim Ensaque 1" numFmtId="164">
      <sharedItems containsSemiMixedTypes="0" containsNonDate="0" containsDate="1" containsString="0" minDate="1899-12-30T00:00:00" maxDate="1899-12-30T17:20:00"/>
    </cacheField>
    <cacheField name="Início Ensaque 2" numFmtId="164">
      <sharedItems containsSemiMixedTypes="0" containsNonDate="0" containsDate="1" containsString="0" minDate="1899-12-30T22:31:00" maxDate="1899-12-30T23:46:00"/>
    </cacheField>
    <cacheField name="Fim Ensaque 2" numFmtId="164">
      <sharedItems containsSemiMixedTypes="0" containsNonDate="0" containsDate="1" containsString="0" minDate="1899-12-30T06:15:00" maxDate="1899-12-30T17:00:00"/>
    </cacheField>
    <cacheField name="Qtd Produzida" numFmtId="3">
      <sharedItems containsSemiMixedTypes="0" containsString="0" containsNumber="1" containsInteger="1" minValue="30150" maxValue="69750"/>
    </cacheField>
    <cacheField name="Tonelada/h" numFmtId="2">
      <sharedItems containsSemiMixedTypes="0" containsString="0" containsNumber="1" minValue="2443.8202247191011" maxValue="5392.8095872170434"/>
    </cacheField>
    <cacheField name="Prod Média" numFmtId="164">
      <sharedItems containsSemiMixedTypes="0" containsNonDate="0" containsDate="1" containsString="0" minDate="1899-12-30T06:15:30" maxDate="1899-12-30T18:07:00"/>
    </cacheField>
    <cacheField name="Tempo Prod F1" numFmtId="46">
      <sharedItems containsSemiMixedTypes="0" containsNonDate="0" containsDate="1" containsString="0" minDate="1899-12-30T00:00:00" maxDate="1899-12-30T18:18:00"/>
    </cacheField>
    <cacheField name="Tempo Prod F2" numFmtId="46">
      <sharedItems containsSemiMixedTypes="0" containsNonDate="0" containsDate="1" containsString="0" minDate="1899-12-30T07:40:00" maxDate="1899-12-30T18:37:00"/>
    </cacheField>
    <cacheField name="Tempo Médio Produção Fornos" numFmtId="164">
      <sharedItems containsSemiMixedTypes="0" containsNonDate="0" containsDate="1" containsString="0" minDate="1899-12-30T06:31:30" maxDate="1899-12-30T18:17:30"/>
    </cacheField>
    <cacheField name="Paradas N prog F1" numFmtId="164">
      <sharedItems containsSemiMixedTypes="0" containsNonDate="0" containsDate="1" containsString="0" minDate="1899-12-30T00:00:00" maxDate="1899-12-30T09:23:00"/>
    </cacheField>
    <cacheField name="Paradas N prog F2" numFmtId="164">
      <sharedItems containsSemiMixedTypes="0" containsNonDate="0" containsDate="1" containsString="0" minDate="1899-12-30T00:00:00" maxDate="1899-12-30T05:22:00"/>
    </cacheField>
    <cacheField name="Total Paradas N prog" numFmtId="164">
      <sharedItems containsSemiMixedTypes="0" containsNonDate="0" containsDate="1" containsString="0" minDate="1899-12-30T00:00:00" maxDate="1899-12-30T09:23:00"/>
    </cacheField>
    <cacheField name="Média Paradas n prog" numFmtId="164">
      <sharedItems containsSemiMixedTypes="0" containsNonDate="0" containsDate="1" containsString="0" minDate="1899-12-30T00:00:00" maxDate="1899-12-30T04:41:30"/>
    </cacheField>
    <cacheField name="Produtividade Ens 1" numFmtId="46">
      <sharedItems containsSemiMixedTypes="0" containsNonDate="0" containsDate="1" containsString="0" minDate="1899-12-30T00:00:00" maxDate="1899-12-30T18:40:00"/>
    </cacheField>
    <cacheField name="Prod Ens 2" numFmtId="46">
      <sharedItems containsSemiMixedTypes="0" containsNonDate="0" containsDate="1" containsString="0" minDate="1899-12-30T07:39:00" maxDate="1899-12-30T18:24:00"/>
    </cacheField>
    <cacheField name="Tempo Start L1" numFmtId="164">
      <sharedItems containsSemiMixedTypes="0" containsNonDate="0" containsDate="1" containsString="0" minDate="1899-12-30T01:37:00" maxDate="1899-12-30T03:45:00"/>
    </cacheField>
    <cacheField name="TempoStart L2" numFmtId="164">
      <sharedItems containsSemiMixedTypes="0" containsNonDate="0" containsDate="1" containsString="0" minDate="1899-12-30T01:31:00" maxDate="1899-12-30T02:46:00"/>
    </cacheField>
    <cacheField name="Média de Start" numFmtId="164">
      <sharedItems containsSemiMixedTypes="0" containsNonDate="0" containsDate="1" containsString="0" minDate="1899-12-30T01:36:00" maxDate="1899-12-30T03:15:30"/>
    </cacheField>
    <cacheField name="Tempo Parado" numFmtId="164">
      <sharedItems containsSemiMixedTypes="0" containsNonDate="0" containsDate="1" containsString="0" minDate="1899-12-30T01:37:30" maxDate="1899-12-30T06:17:30"/>
    </cacheField>
    <cacheField name="Carga Horária" numFmtId="164">
      <sharedItems containsSemiMixedTypes="0" containsNonDate="0" containsDate="1" containsString="0" minDate="1899-12-30T08:33:30" maxDate="1899-12-30T22:20:00"/>
    </cacheField>
    <cacheField name="Tempo de Fábrica" numFmtId="0" formula="'Prod Média'/'Carga Horária'" databaseField="0"/>
    <cacheField name="Produtividade" numFmtId="0" formula="'Qtd Produzida'/'Meta da Produção'" databaseField="0"/>
    <cacheField name="Campo1" numFmtId="0" formula="'Tempo de Fábrica'*Produtividade" databaseField="0"/>
  </cacheFields>
  <extLst>
    <ext xmlns:x14="http://schemas.microsoft.com/office/spreadsheetml/2009/9/main" uri="{725AE2AE-9491-48be-B2B4-4EB974FC3084}">
      <x14:pivotCacheDefinition pivotCacheId="15426675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61061"/>
    <d v="1899-12-30T21:00:00"/>
    <d v="1899-12-30T00:45:00"/>
    <d v="1899-12-30T23:44:00"/>
    <d v="1899-12-30T16:52:00"/>
    <d v="1899-12-30T16:18:00"/>
    <d v="1899-12-30T00:45:00"/>
    <d v="1899-12-30T16:20:00"/>
    <d v="1899-12-30T23:46:00"/>
    <d v="1899-12-30T15:52:00"/>
    <n v="43500"/>
    <n v="2745.9231983166756"/>
    <d v="1899-12-30T15:50:30"/>
    <d v="1899-12-30T16:07:00"/>
    <d v="1899-12-30T16:34:00"/>
    <d v="1899-12-30T16:20:30"/>
    <d v="1899-12-30T00:14:00"/>
    <d v="1899-12-30T01:05:00"/>
    <d v="1899-12-30T01:19:00"/>
    <d v="1899-12-30T00:39:30"/>
    <d v="1899-12-30T15:35:00"/>
    <d v="1899-12-30T16:06:00"/>
    <d v="1899-12-30T03:45:00"/>
    <d v="1899-12-30T02:46:00"/>
    <d v="1899-12-30T03:15:30"/>
    <d v="1899-12-30T03:55:00"/>
    <d v="1899-12-30T19:45:30"/>
  </r>
  <r>
    <x v="1"/>
    <n v="58058"/>
    <d v="1899-12-30T21:00:00"/>
    <d v="1899-12-30T22:40:00"/>
    <d v="1899-12-30T22:30:00"/>
    <d v="1899-12-30T09:10:00"/>
    <d v="1899-12-30T16:20:00"/>
    <d v="1899-12-30T22:41:00"/>
    <d v="1899-12-30T09:10:00"/>
    <d v="1899-12-30T22:31:00"/>
    <d v="1899-12-30T16:21:00"/>
    <n v="44500"/>
    <n v="3143.025309005297"/>
    <d v="1899-12-30T14:09:30"/>
    <d v="1899-12-30T10:30:00"/>
    <d v="1899-12-30T17:50:00"/>
    <d v="1899-12-30T14:10:00"/>
    <d v="1899-12-30T09:23:00"/>
    <d v="1899-12-30T00:00:00"/>
    <d v="1899-12-30T09:23:00"/>
    <d v="1899-12-30T04:41:30"/>
    <d v="1899-12-30T10:29:00"/>
    <d v="1899-12-30T17:50:00"/>
    <d v="1899-12-30T01:41:00"/>
    <d v="1899-12-30T01:31:00"/>
    <d v="1899-12-30T01:36:00"/>
    <d v="1899-12-30T06:17:30"/>
    <d v="1899-12-30T20:27:00"/>
  </r>
  <r>
    <x v="2"/>
    <n v="57921"/>
    <d v="1899-12-30T21:00:00"/>
    <d v="1899-12-30T22:45:00"/>
    <d v="1899-12-30T22:35:00"/>
    <d v="1899-12-30T16:25:00"/>
    <d v="1899-12-30T16:22:00"/>
    <d v="1899-12-30T22:46:00"/>
    <d v="1899-12-30T15:54:00"/>
    <d v="1899-12-30T22:36:00"/>
    <d v="1899-12-30T16:00:00"/>
    <n v="51300"/>
    <n v="2971.0424710424713"/>
    <d v="1899-12-30T17:16:00"/>
    <d v="1899-12-30T17:40:00"/>
    <d v="1899-12-30T17:47:00"/>
    <d v="1899-12-30T17:43:30"/>
    <d v="1899-12-30T00:00:00"/>
    <d v="1899-12-30T00:00:00"/>
    <d v="1899-12-30T00:00:00"/>
    <d v="1899-12-30T00:00:00"/>
    <d v="1899-12-30T17:08:00"/>
    <d v="1899-12-30T17:24:00"/>
    <d v="1899-12-30T01:46:00"/>
    <d v="1899-12-30T01:36:00"/>
    <d v="1899-12-30T01:41:00"/>
    <d v="1899-12-30T01:41:00"/>
    <d v="1899-12-30T18:57:00"/>
  </r>
  <r>
    <x v="3"/>
    <n v="66277"/>
    <d v="1899-12-30T21:00:00"/>
    <d v="1899-12-30T22:38:00"/>
    <d v="1899-12-30T22:41:00"/>
    <d v="1899-12-30T16:32:00"/>
    <d v="1899-12-30T17:18:00"/>
    <d v="1899-12-30T22:40:00"/>
    <d v="1899-12-30T17:20:00"/>
    <d v="1899-12-30T22:42:00"/>
    <d v="1899-12-30T16:12:00"/>
    <n v="67150"/>
    <n v="3713.3640552995389"/>
    <d v="1899-12-30T18:05:00"/>
    <d v="1899-12-30T17:54:00"/>
    <d v="1899-12-30T18:37:00"/>
    <d v="1899-12-30T18:15:30"/>
    <d v="1899-12-30T00:07:00"/>
    <d v="1899-12-30T00:22:00"/>
    <d v="1899-12-30T00:29:00"/>
    <d v="1899-12-30T00:14:30"/>
    <d v="1899-12-30T18:40:00"/>
    <d v="1899-12-30T17:30:00"/>
    <d v="1899-12-30T01:40:00"/>
    <d v="1899-12-30T01:42:00"/>
    <d v="1899-12-30T01:41:00"/>
    <d v="1899-12-30T01:55:30"/>
    <d v="1899-12-30T20:00:30"/>
  </r>
  <r>
    <x v="4"/>
    <n v="35743"/>
    <d v="1899-12-30T21:00:00"/>
    <d v="1899-12-30T22:44:00"/>
    <d v="1899-12-30T22:37:00"/>
    <d v="1899-12-30T08:30:00"/>
    <d v="1899-12-30T08:30:00"/>
    <d v="1899-12-30T22:45:00"/>
    <d v="1899-12-30T08:35:00"/>
    <d v="1899-12-30T22:38:00"/>
    <d v="1899-12-30T08:35:00"/>
    <n v="33700"/>
    <n v="3406.9081718618363"/>
    <d v="1899-12-30T09:53:30"/>
    <d v="1899-12-30T09:46:00"/>
    <d v="1899-12-30T09:53:00"/>
    <d v="1899-12-30T09:49:30"/>
    <d v="1899-12-30T00:05:00"/>
    <d v="1899-12-30T00:05:00"/>
    <d v="1899-12-30T00:10:00"/>
    <d v="1899-12-30T00:05:00"/>
    <d v="1899-12-30T09:50:00"/>
    <d v="1899-12-30T09:57:00"/>
    <d v="1899-12-30T01:45:00"/>
    <d v="1899-12-30T01:38:00"/>
    <d v="1899-12-30T01:41:30"/>
    <d v="1899-12-30T01:46:30"/>
    <d v="1899-12-30T11:40:00"/>
  </r>
  <r>
    <x v="5"/>
    <n v="56282"/>
    <d v="1899-12-30T21:00:00"/>
    <d v="1899-12-30T23:00:00"/>
    <d v="1899-12-30T22:40:00"/>
    <d v="1899-12-30T17:12:00"/>
    <d v="1899-12-30T16:52:00"/>
    <d v="1899-12-30T23:02:00"/>
    <d v="1899-12-30T16:57:00"/>
    <d v="1899-12-30T22:42:00"/>
    <d v="1899-12-30T16:02:00"/>
    <n v="46800"/>
    <n v="2655.3191489361702"/>
    <d v="1899-12-30T17:37:30"/>
    <d v="1899-12-30T18:12:00"/>
    <d v="1899-12-30T18:12:00"/>
    <d v="1899-12-30T18:12:00"/>
    <d v="1899-12-30T02:00:00"/>
    <d v="1899-12-30T00:00:00"/>
    <d v="1899-12-30T02:00:00"/>
    <d v="1899-12-30T01:00:00"/>
    <d v="1899-12-30T17:55:00"/>
    <d v="1899-12-30T17:20:00"/>
    <d v="1899-12-30T02:02:00"/>
    <d v="1899-12-30T01:42:00"/>
    <d v="1899-12-30T01:52:00"/>
    <d v="1899-12-30T02:52:00"/>
    <d v="1899-12-30T20:29:30"/>
  </r>
  <r>
    <x v="6"/>
    <n v="54542"/>
    <d v="1899-12-30T21:00:00"/>
    <d v="1899-12-30T22:45:00"/>
    <d v="1899-12-30T22:35:00"/>
    <d v="1899-12-30T16:54:00"/>
    <d v="1899-12-30T16:54:00"/>
    <d v="1899-12-30T22:46:00"/>
    <d v="1899-12-30T16:45:00"/>
    <d v="1899-12-30T22:37:00"/>
    <d v="1899-12-30T16:25:00"/>
    <n v="52350"/>
    <n v="2925.9431765253844"/>
    <d v="1899-12-30T17:53:30"/>
    <d v="1899-12-30T18:09:00"/>
    <d v="1899-12-30T18:19:00"/>
    <d v="1899-12-30T18:14:00"/>
    <d v="1899-12-30T00:00:00"/>
    <d v="1899-12-30T00:00:00"/>
    <d v="1899-12-30T00:00:00"/>
    <d v="1899-12-30T00:00:00"/>
    <d v="1899-12-30T17:59:00"/>
    <d v="1899-12-30T17:48:00"/>
    <d v="1899-12-30T01:46:00"/>
    <d v="1899-12-30T01:37:00"/>
    <d v="1899-12-30T01:41:30"/>
    <d v="1899-12-30T01:41:30"/>
    <d v="1899-12-30T19:35:00"/>
  </r>
  <r>
    <x v="7"/>
    <n v="54542"/>
    <d v="1899-12-30T21:00:00"/>
    <d v="1899-12-30T22:45:00"/>
    <d v="1899-12-30T22:30:00"/>
    <d v="1899-12-30T16:55:00"/>
    <d v="1899-12-30T16:50:00"/>
    <d v="1899-12-30T22:46:00"/>
    <d v="1899-12-30T16:49:00"/>
    <d v="1899-12-30T22:32:00"/>
    <d v="1899-12-30T16:33:00"/>
    <n v="53150"/>
    <n v="2947.3197781885401"/>
    <d v="1899-12-30T18:02:00"/>
    <d v="1899-12-30T18:10:00"/>
    <d v="1899-12-30T18:20:00"/>
    <d v="1899-12-30T18:15:00"/>
    <d v="1899-12-30T01:15:00"/>
    <d v="1899-12-30T00:00:00"/>
    <d v="1899-12-30T01:15:00"/>
    <d v="1899-12-30T00:37:30"/>
    <d v="1899-12-30T18:03:00"/>
    <d v="1899-12-30T18:01:00"/>
    <d v="1899-12-30T01:46:00"/>
    <d v="1899-12-30T01:32:00"/>
    <d v="1899-12-30T01:39:00"/>
    <d v="1899-12-30T02:16:30"/>
    <d v="1899-12-30T20:18:30"/>
  </r>
  <r>
    <x v="8"/>
    <n v="54542"/>
    <d v="1899-12-30T21:00:00"/>
    <d v="1899-12-30T22:35:00"/>
    <d v="1899-12-30T22:35:00"/>
    <d v="1899-12-30T16:48:00"/>
    <d v="1899-12-30T16:57:00"/>
    <d v="1899-12-30T22:37:00"/>
    <d v="1899-12-30T10:52:00"/>
    <d v="1899-12-30T22:36:00"/>
    <d v="1899-12-30T16:38:00"/>
    <n v="46250"/>
    <n v="3054.4854155200878"/>
    <d v="1899-12-30T15:08:30"/>
    <d v="1899-12-30T18:13:00"/>
    <d v="1899-12-30T18:22:00"/>
    <d v="1899-12-30T18:17:30"/>
    <d v="1899-12-30T05:45:00"/>
    <d v="1899-12-30T00:00:00"/>
    <d v="1899-12-30T05:45:00"/>
    <d v="1899-12-30T02:52:30"/>
    <d v="1899-12-30T12:15:00"/>
    <d v="1899-12-30T18:02:00"/>
    <d v="1899-12-30T01:37:00"/>
    <d v="1899-12-30T01:36:00"/>
    <d v="1899-12-30T01:36:30"/>
    <d v="1899-12-30T04:29:00"/>
    <d v="1899-12-30T19:37:30"/>
  </r>
  <r>
    <x v="9"/>
    <n v="30195"/>
    <d v="1899-12-30T21:00:00"/>
    <d v="1899-12-30T22:35:00"/>
    <d v="1899-12-30T22:35:00"/>
    <d v="1899-12-30T08:26:00"/>
    <d v="1899-12-30T08:31:00"/>
    <d v="1899-12-30T22:38:00"/>
    <d v="1899-12-30T08:40:00"/>
    <d v="1899-12-30T22:37:00"/>
    <d v="1899-12-30T08:27:00"/>
    <n v="30150"/>
    <n v="3035.2348993288583"/>
    <d v="1899-12-30T09:56:00"/>
    <d v="1899-12-30T09:51:00"/>
    <d v="1899-12-30T09:56:00"/>
    <d v="1899-12-30T09:53:30"/>
    <d v="1899-12-30T00:00:00"/>
    <d v="1899-12-30T00:00:00"/>
    <d v="1899-12-30T00:00:00"/>
    <d v="1899-12-30T00:00:00"/>
    <d v="1899-12-30T10:02:00"/>
    <d v="1899-12-30T09:50:00"/>
    <d v="1899-12-30T01:38:00"/>
    <d v="1899-12-30T01:37:00"/>
    <d v="1899-12-30T01:37:30"/>
    <d v="1899-12-30T01:37:30"/>
    <d v="1899-12-30T11:33:30"/>
  </r>
  <r>
    <x v="10"/>
    <n v="61061"/>
    <d v="1899-12-30T21:00:00"/>
    <d v="1899-12-30T22:55:00"/>
    <d v="1899-12-30T23:20:00"/>
    <d v="1899-12-30T16:47:00"/>
    <d v="1899-12-30T17:17:00"/>
    <d v="1899-12-30T22:56:00"/>
    <d v="1899-12-30T16:00:00"/>
    <d v="1899-12-30T23:22:00"/>
    <d v="1899-12-30T16:30:00"/>
    <n v="46200"/>
    <n v="2701.7543859649127"/>
    <d v="1899-12-30T17:06:00"/>
    <d v="1899-12-30T17:52:00"/>
    <d v="1899-12-30T17:57:00"/>
    <d v="1899-12-30T17:54:30"/>
    <d v="1899-12-30T01:41:00"/>
    <d v="1899-12-30T03:17:00"/>
    <d v="1899-12-30T04:58:00"/>
    <d v="1899-12-30T02:29:00"/>
    <d v="1899-12-30T17:04:00"/>
    <d v="1899-12-30T17:08:00"/>
    <d v="1899-12-30T01:56:00"/>
    <d v="1899-12-30T02:22:00"/>
    <d v="1899-12-30T02:09:00"/>
    <d v="1899-12-30T04:38:00"/>
    <d v="1899-12-30T21:44:00"/>
  </r>
  <r>
    <x v="11"/>
    <n v="61061"/>
    <d v="1899-12-30T21:00:00"/>
    <d v="1899-12-30T22:40:00"/>
    <d v="1899-12-30T22:45:00"/>
    <d v="1899-12-30T16:58:00"/>
    <d v="1899-12-30T16:48:00"/>
    <d v="1899-12-30T22:41:00"/>
    <d v="1899-12-30T17:03:00"/>
    <d v="1899-12-30T22:46:00"/>
    <d v="1899-12-30T16:25:00"/>
    <n v="59950"/>
    <n v="3329.0143452105508"/>
    <d v="1899-12-30T18:00:30"/>
    <d v="1899-12-30T18:18:00"/>
    <d v="1899-12-30T18:03:00"/>
    <d v="1899-12-30T18:10:30"/>
    <d v="1899-12-30T00:35:00"/>
    <d v="1899-12-30T00:00:00"/>
    <d v="1899-12-30T00:35:00"/>
    <d v="1899-12-30T00:17:30"/>
    <d v="1899-12-30T18:22:00"/>
    <d v="1899-12-30T17:39:00"/>
    <d v="1899-12-30T01:41:00"/>
    <d v="1899-12-30T01:46:00"/>
    <d v="1899-12-30T01:43:30"/>
    <d v="1899-12-30T02:01:00"/>
    <d v="1899-12-30T20:01:30"/>
  </r>
  <r>
    <x v="12"/>
    <n v="61251"/>
    <d v="1899-12-30T21:00:00"/>
    <d v="1899-12-30T22:38:00"/>
    <d v="1899-12-30T22:35:00"/>
    <d v="1899-12-30T16:45:00"/>
    <d v="1899-12-30T17:02:00"/>
    <d v="1899-12-30T22:40:00"/>
    <d v="1899-12-30T16:30:00"/>
    <d v="1899-12-30T22:36:00"/>
    <d v="1899-12-30T17:00:00"/>
    <n v="47650"/>
    <n v="2630.1747930082797"/>
    <d v="1899-12-30T18:07:00"/>
    <d v="1899-12-30T18:07:00"/>
    <d v="1899-12-30T18:27:00"/>
    <d v="1899-12-30T18:17:00"/>
    <d v="1899-12-30T00:00:00"/>
    <d v="1899-12-30T05:10:00"/>
    <d v="1899-12-30T05:10:00"/>
    <d v="1899-12-30T02:35:00"/>
    <d v="1899-12-30T17:50:00"/>
    <d v="1899-12-30T18:24:00"/>
    <d v="1899-12-30T01:40:00"/>
    <d v="1899-12-30T01:36:00"/>
    <d v="1899-12-30T01:38:00"/>
    <d v="1899-12-30T04:13:00"/>
    <d v="1899-12-30T22:20:00"/>
  </r>
  <r>
    <x v="13"/>
    <n v="61427"/>
    <d v="1899-12-30T21:00:00"/>
    <d v="1899-12-30T22:47:00"/>
    <d v="1899-12-30T22:38:00"/>
    <d v="1899-12-30T16:57:00"/>
    <d v="1899-12-30T11:35:00"/>
    <d v="1899-12-30T22:48:00"/>
    <d v="1899-12-30T16:03:00"/>
    <d v="1899-12-30T22:48:00"/>
    <d v="1899-12-30T11:14:00"/>
    <n v="54050"/>
    <n v="3641.7742841100498"/>
    <d v="1899-12-30T14:50:30"/>
    <d v="1899-12-30T18:10:00"/>
    <d v="1899-12-30T12:57:00"/>
    <d v="1899-12-30T15:33:30"/>
    <d v="1899-12-30T00:54:00"/>
    <d v="1899-12-30T05:22:00"/>
    <d v="1899-12-30T06:16:00"/>
    <d v="1899-12-30T03:08:00"/>
    <d v="1899-12-30T17:15:00"/>
    <d v="1899-12-30T12:26:00"/>
    <d v="1899-12-30T01:48:00"/>
    <d v="1899-12-30T01:48:00"/>
    <d v="1899-12-30T01:48:00"/>
    <d v="1899-12-30T04:56:00"/>
    <d v="1899-12-30T19:46:30"/>
  </r>
  <r>
    <x v="14"/>
    <n v="37281"/>
    <d v="1899-12-30T21:00:00"/>
    <d v="1899-12-30T00:00:00"/>
    <d v="1899-12-30T22:35:00"/>
    <d v="1899-12-30T00:00:00"/>
    <d v="1899-12-30T11:38:00"/>
    <d v="1899-12-30T00:00:00"/>
    <d v="1899-12-30T00:00:00"/>
    <d v="1899-12-30T22:36:00"/>
    <d v="1899-12-30T11:07:00"/>
    <n v="33750"/>
    <n v="5392.8095872170434"/>
    <d v="1899-12-30T06:15:30"/>
    <d v="1899-12-30T00:00:00"/>
    <d v="1899-12-30T13:03:00"/>
    <d v="1899-12-30T06:31:30"/>
    <d v="1899-12-30T00:00:00"/>
    <d v="1899-12-30T00:00:00"/>
    <d v="1899-12-30T00:00:00"/>
    <d v="1899-12-30T00:00:00"/>
    <d v="1899-12-30T00:00:00"/>
    <d v="1899-12-30T12:31:00"/>
    <d v="1899-12-30T03:00:00"/>
    <d v="1899-12-30T01:36:00"/>
    <d v="1899-12-30T02:18:00"/>
    <d v="1899-12-30T02:18:00"/>
    <d v="1899-12-30T08:33:30"/>
  </r>
  <r>
    <x v="15"/>
    <n v="45636"/>
    <d v="1899-12-30T21:00:00"/>
    <d v="1899-12-30T22:55:00"/>
    <d v="1899-12-30T22:40:00"/>
    <d v="1899-12-30T16:48:00"/>
    <d v="1899-12-30T16:53:00"/>
    <d v="1899-12-30T22:57:00"/>
    <d v="1899-12-30T16:33:00"/>
    <d v="1899-12-30T22:45:00"/>
    <d v="1899-12-30T16:45:00"/>
    <n v="43500"/>
    <n v="2443.8202247191011"/>
    <d v="1899-12-30T17:48:00"/>
    <d v="1899-12-30T17:53:00"/>
    <d v="1899-12-30T18:13:00"/>
    <d v="1899-12-30T18:03:00"/>
    <d v="1899-12-30T00:03:00"/>
    <d v="1899-12-30T00:03:00"/>
    <d v="1899-12-30T00:06:00"/>
    <d v="1899-12-30T00:03:00"/>
    <d v="1899-12-30T17:36:00"/>
    <d v="1899-12-30T18:00:00"/>
    <d v="1899-12-30T01:57:00"/>
    <d v="1899-12-30T01:45:00"/>
    <d v="1899-12-30T01:51:00"/>
    <d v="1899-12-30T01:54:00"/>
    <d v="1899-12-30T19:42:00"/>
  </r>
  <r>
    <x v="16"/>
    <n v="58045"/>
    <d v="1899-12-30T21:00:00"/>
    <d v="1899-12-30T22:50:00"/>
    <d v="1899-12-30T22:45:00"/>
    <d v="1899-12-30T16:58:00"/>
    <d v="1899-12-30T16:34:00"/>
    <d v="1899-12-30T22:52:00"/>
    <d v="1899-12-30T16:14:00"/>
    <d v="1899-12-30T22:46:00"/>
    <d v="1899-12-30T16:14:00"/>
    <n v="58450"/>
    <n v="3355.9808612440188"/>
    <d v="1899-12-30T17:25:00"/>
    <d v="1899-12-30T18:08:00"/>
    <d v="1899-12-30T17:49:00"/>
    <d v="1899-12-30T17:58:30"/>
    <d v="1899-12-30T00:36:00"/>
    <d v="1899-12-30T00:14:00"/>
    <d v="1899-12-30T00:50:00"/>
    <d v="1899-12-30T00:25:00"/>
    <d v="1899-12-30T17:22:00"/>
    <d v="1899-12-30T17:28:00"/>
    <d v="1899-12-30T01:52:00"/>
    <d v="1899-12-30T01:46:00"/>
    <d v="1899-12-30T01:49:00"/>
    <d v="1899-12-30T02:14:00"/>
    <d v="1899-12-30T19:39:00"/>
  </r>
  <r>
    <x v="17"/>
    <n v="60558"/>
    <d v="1899-12-30T21:00:00"/>
    <d v="1899-12-30T22:35:00"/>
    <d v="1899-12-30T22:38:00"/>
    <d v="1899-12-30T16:44:00"/>
    <d v="1899-12-30T15:55:00"/>
    <d v="1899-12-30T22:37:00"/>
    <d v="1899-12-30T16:52:00"/>
    <d v="1899-12-30T22:39:00"/>
    <d v="1899-12-30T15:52:00"/>
    <n v="69750"/>
    <n v="3933.270676691729"/>
    <d v="1899-12-30T17:44:00"/>
    <d v="1899-12-30T18:09:00"/>
    <d v="1899-12-30T17:17:00"/>
    <d v="1899-12-30T17:43:00"/>
    <d v="1899-12-30T01:09:00"/>
    <d v="1899-12-30T00:49:00"/>
    <d v="1899-12-30T01:58:00"/>
    <d v="1899-12-30T00:59:00"/>
    <d v="1899-12-30T18:15:00"/>
    <d v="1899-12-30T17:13:00"/>
    <d v="1899-12-30T01:37:00"/>
    <d v="1899-12-30T01:39:00"/>
    <d v="1899-12-30T01:38:00"/>
    <d v="1899-12-30T02:37:00"/>
    <d v="1899-12-30T20:21:00"/>
  </r>
  <r>
    <x v="18"/>
    <n v="56717"/>
    <d v="1899-12-30T21:00:00"/>
    <d v="1899-12-30T22:37:00"/>
    <d v="1899-12-30T22:35:00"/>
    <d v="1899-12-30T16:54:00"/>
    <d v="1899-12-30T16:40:00"/>
    <d v="1899-12-30T22:38:00"/>
    <d v="1899-12-30T16:55:00"/>
    <d v="1899-12-30T22:36:00"/>
    <d v="1899-12-30T16:30:00"/>
    <n v="60800"/>
    <n v="3360.6632888070012"/>
    <d v="1899-12-30T18:05:30"/>
    <d v="1899-12-30T18:17:00"/>
    <d v="1899-12-30T18:05:00"/>
    <d v="1899-12-30T18:11:00"/>
    <d v="1899-12-30T00:00:00"/>
    <d v="1899-12-30T00:32:00"/>
    <d v="1899-12-30T00:32:00"/>
    <d v="1899-12-30T00:16:00"/>
    <d v="1899-12-30T18:17:00"/>
    <d v="1899-12-30T17:54:00"/>
    <d v="1899-12-30T01:38:00"/>
    <d v="1899-12-30T01:36:00"/>
    <d v="1899-12-30T01:37:00"/>
    <d v="1899-12-30T01:53:00"/>
    <d v="1899-12-30T19:58:30"/>
  </r>
  <r>
    <x v="19"/>
    <n v="30295"/>
    <d v="1899-12-30T21:00:00"/>
    <d v="1899-12-30T22:37:00"/>
    <d v="1899-12-30T22:35:00"/>
    <d v="1899-12-30T11:00:00"/>
    <d v="1899-12-30T06:15:00"/>
    <d v="1899-12-30T22:39:00"/>
    <d v="1899-12-30T11:10:00"/>
    <d v="1899-12-30T22:36:00"/>
    <d v="1899-12-30T06:15:00"/>
    <n v="33100"/>
    <n v="3282.6446280991727"/>
    <d v="1899-12-30T10:05:00"/>
    <d v="1899-12-30T12:23:00"/>
    <d v="1899-12-30T07:40:00"/>
    <d v="1899-12-30T10:01:30"/>
    <d v="1899-12-30T00:00:00"/>
    <d v="1899-12-30T00:00:00"/>
    <d v="1899-12-30T00:00:00"/>
    <d v="1899-12-30T00:00:00"/>
    <d v="1899-12-30T12:31:00"/>
    <d v="1899-12-30T07:39:00"/>
    <d v="1899-12-30T01:39:00"/>
    <d v="1899-12-30T01:36:00"/>
    <d v="1899-12-30T01:37:30"/>
    <d v="1899-12-30T01:37:30"/>
    <d v="1899-12-30T11:42: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07754-8A17-4ED2-AF59-C2987CFE103C}" name="RESUMO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chartFormat="3" rowHeaderCaption="Data">
  <location ref="B14:E35" firstHeaderRow="0" firstDataRow="1" firstDataCol="1"/>
  <pivotFields count="31">
    <pivotField axis="axisRow" numFmtId="14" showAll="0" sortType="ascending">
      <items count="109">
        <item m="1" x="107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6"/>
        <item m="1" x="102"/>
        <item m="1" x="103"/>
        <item m="1" x="104"/>
        <item m="1" x="105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44"/>
        <item m="1" x="34"/>
        <item m="1" x="35"/>
        <item m="1" x="36"/>
        <item m="1" x="37"/>
        <item m="1" x="38"/>
        <item m="1" x="45"/>
        <item m="1" x="39"/>
        <item m="1" x="40"/>
        <item m="1" x="41"/>
        <item m="1" x="42"/>
        <item m="1" x="43"/>
        <item m="1" x="46"/>
        <item x="0"/>
        <item x="1"/>
        <item x="2"/>
        <item x="3"/>
        <item x="4"/>
        <item m="1" x="20"/>
        <item x="5"/>
        <item x="6"/>
        <item x="7"/>
        <item x="8"/>
        <item x="9"/>
        <item m="1" x="21"/>
        <item x="10"/>
        <item x="11"/>
        <item x="12"/>
        <item x="13"/>
        <item x="14"/>
        <item m="1" x="22"/>
        <item x="15"/>
        <item x="16"/>
        <item x="17"/>
        <item x="18"/>
        <item x="19"/>
        <item m="1" x="23"/>
        <item t="default"/>
      </items>
    </pivotField>
    <pivotField numFmtI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21">
    <i>
      <x v="84"/>
    </i>
    <i>
      <x v="85"/>
    </i>
    <i>
      <x v="86"/>
    </i>
    <i>
      <x v="87"/>
    </i>
    <i>
      <x v="88"/>
    </i>
    <i>
      <x v="90"/>
    </i>
    <i>
      <x v="91"/>
    </i>
    <i>
      <x v="92"/>
    </i>
    <i>
      <x v="93"/>
    </i>
    <i>
      <x v="94"/>
    </i>
    <i>
      <x v="96"/>
    </i>
    <i>
      <x v="97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empo Fábrica" fld="28" baseField="0" baseItem="0" numFmtId="10"/>
    <dataField name="Produtividade." fld="29" baseField="0" baseItem="3" numFmtId="1"/>
    <dataField name="Maquinário" fld="30" baseField="0" baseItem="0"/>
  </dataFields>
  <formats count="33"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collapsedLevelsAreSubtotals="1" fieldPosition="0">
        <references count="1">
          <reference field="0" count="0"/>
        </references>
      </pivotArea>
    </format>
    <format dxfId="29">
      <pivotArea dataOnly="0" labelOnly="1" fieldPosition="0">
        <references count="1">
          <reference field="0" count="0"/>
        </references>
      </pivotArea>
    </format>
    <format dxfId="28">
      <pivotArea collapsedLevelsAreSubtotals="1" fieldPosition="0">
        <references count="2">
          <reference field="4294967294" count="2" selected="0">
            <x v="1"/>
            <x v="2"/>
          </reference>
          <reference field="0" count="1">
            <x v="3"/>
          </reference>
        </references>
      </pivotArea>
    </format>
    <format dxfId="27">
      <pivotArea field="0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5">
      <pivotArea field="0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dataOnly="0" labelOnly="1" grandRow="1" outline="0" fieldPosition="0"/>
    </format>
    <format dxfId="20">
      <pivotArea dataOnly="0" labelOnly="1" grandRow="1" outline="0" fieldPosition="0"/>
    </format>
    <format dxfId="19">
      <pivotArea dataOnly="0" labelOnly="1" grandRow="1" outline="0" fieldPosition="0"/>
    </format>
    <format dxfId="18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7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5">
      <pivotArea collapsedLevelsAreSubtotals="1" fieldPosition="0">
        <references count="2">
          <reference field="4294967294" count="2" selected="0">
            <x v="1"/>
            <x v="2"/>
          </reference>
          <reference field="0" count="0"/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0" count="1">
            <x v="21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0" count="1">
            <x v="2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onditionalFormats count="13">
    <conditionalFormat priority="19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7">
              <x v="13"/>
              <x v="14"/>
              <x v="15"/>
              <x v="17"/>
              <x v="18"/>
              <x v="19"/>
              <x v="20"/>
            </reference>
          </references>
        </pivotArea>
      </pivotAreas>
    </conditionalFormat>
    <conditionalFormat priority="2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1">
              <x v="12"/>
            </reference>
          </references>
        </pivotArea>
      </pivotAreas>
    </conditionalFormat>
    <conditionalFormat priority="23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1">
              <x v="12"/>
            </reference>
          </references>
        </pivotArea>
      </pivotAreas>
    </conditionalFormat>
    <conditionalFormat priority="4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9"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9"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6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9"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1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">
              <x v="21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0" count="1">
              <x v="21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0" count="1">
              <x v="21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1" xr10:uid="{EC00ACFE-4BB3-4939-91CB-106252492264}" sourceName="Data">
  <pivotTables>
    <pivotTable tabId="6" name="RESUMO"/>
  </pivotTables>
  <data>
    <tabular pivotCacheId="1542667527">
      <items count="108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107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6" s="1" nd="1"/>
        <i x="102" s="1" nd="1"/>
        <i x="103" s="1" nd="1"/>
        <i x="104" s="1" nd="1"/>
        <i x="105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44" s="1" nd="1"/>
        <i x="34" s="1" nd="1"/>
        <i x="35" s="1" nd="1"/>
        <i x="36" s="1" nd="1"/>
        <i x="37" s="1" nd="1"/>
        <i x="38" s="1" nd="1"/>
        <i x="45" s="1" nd="1"/>
        <i x="39" s="1" nd="1"/>
        <i x="40" s="1" nd="1"/>
        <i x="41" s="1" nd="1"/>
        <i x="42" s="1" nd="1"/>
        <i x="43" s="1" nd="1"/>
        <i x="46" s="1" nd="1"/>
        <i x="20" s="1" nd="1"/>
        <i x="21" s="1" nd="1"/>
        <i x="22" s="1" nd="1"/>
        <i x="2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2" xr10:uid="{BA088F71-CA07-4EB2-8031-3EE15AD5383C}" sourceName="Data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" xr10:uid="{5A9A53D7-D99C-4CA6-9B3A-67ABAA48C741}" sourceName="Data 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tor" xr10:uid="{9D3B2551-A788-41D5-8A8C-CD4D2279D369}" sourceName="Setor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urno" xr10:uid="{9EE7E033-EED6-43B4-AF0F-5C3E9D2D29EE}" sourceName="Turno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usa_Raiz" xr10:uid="{3802A695-3CD4-4F40-9540-F24AFE3E9DB6}" sourceName="Causa Raiz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1" xr10:uid="{539B2EA3-BBB4-44ED-B418-C8750EDDCC61}" cache="SegmentaçãodeDados_Data2" caption="Data" columnCount="10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" xr10:uid="{78114644-9AE2-41EE-9E37-312162E4C9B6}" cache="SegmentaçãodeDados_Data" caption="Data " rowHeight="241300"/>
  <slicer name="Setor" xr10:uid="{B30AD992-77E8-40AB-860C-218F63F257FA}" cache="SegmentaçãodeDados_Setor" caption="Setor" rowHeight="241300"/>
  <slicer name="Turno" xr10:uid="{3F89120B-C62D-4302-AD20-8E79B675DFFE}" cache="SegmentaçãodeDados_Turno" caption="Turno" rowHeight="241300"/>
  <slicer name="Causa Raiz" xr10:uid="{EDC7F229-93CF-41D7-8AC7-E9091DC28331}" cache="SegmentaçãodeDados_Causa_Raiz" caption="Causa Raiz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" xr10:uid="{87C3E4C9-4E3A-48A5-B124-3FDDBD5F0F07}" cache="SegmentaçãodeDados_Data1" caption="Dat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C30882-7D12-42D8-932F-B18B43A8152C}" name="Tabela2" displayName="Tabela2" ref="B6:AC26" totalsRowShown="0" headerRowDxfId="125" dataDxfId="124" tableBorderDxfId="123">
  <autoFilter ref="B6:AC26" xr:uid="{1FC30882-7D12-42D8-932F-B18B43A8152C}"/>
  <tableColumns count="28">
    <tableColumn id="1" xr3:uid="{D93E6068-ABDC-4396-94E1-3BEC37BB1E73}" name="Data" dataDxfId="122"/>
    <tableColumn id="2" xr3:uid="{B288ABFD-6A77-4EB0-9956-21AB1E556BFA}" name="Meta da Produção" dataDxfId="121"/>
    <tableColumn id="3" xr3:uid="{9E6EE10D-2D5B-480D-A847-D064A75CA85C}" name="Início Start Fábrica" dataDxfId="120"/>
    <tableColumn id="4" xr3:uid="{5093C9EE-A50F-41AC-99F8-44BA7091B9BE}" name="Início F1" dataDxfId="119"/>
    <tableColumn id="5" xr3:uid="{E2E42F91-B991-463F-B3DB-6A49CFF322E9}" name="Início F2" dataDxfId="118"/>
    <tableColumn id="6" xr3:uid="{CEA2DD46-0AF8-4A51-8738-D29779FEA60D}" name="Fim F1" dataDxfId="117"/>
    <tableColumn id="7" xr3:uid="{A135AD15-8033-4778-952E-012007A2DDF2}" name="Fim F2" dataDxfId="116"/>
    <tableColumn id="8" xr3:uid="{ADE34F4C-515D-4961-8100-CF60A89147F2}" name="Início do Ensaque 1" dataDxfId="115"/>
    <tableColumn id="9" xr3:uid="{7D115FCB-58B6-4FF6-9E29-0A841F49D00F}" name="Fim Ensaque 1" dataDxfId="114"/>
    <tableColumn id="10" xr3:uid="{AE033768-0811-468D-A5CF-3EE05E8190BC}" name="Início Ensaque 2" dataDxfId="113"/>
    <tableColumn id="11" xr3:uid="{77B4BD7B-504E-417C-BFE8-BCFD0EBA3E2A}" name="Fim Ensaque 2" dataDxfId="112"/>
    <tableColumn id="12" xr3:uid="{2DD60ECD-D01C-4812-BA22-1A509E364519}" name="Qtd Produzida" dataDxfId="111" dataCellStyle="Vírgula"/>
    <tableColumn id="13" xr3:uid="{C37A000E-2E14-4611-BE01-2907FF52B132}" name="Tonelada/h" dataDxfId="110">
      <calculatedColumnFormula>IFERROR(M7/(O7*24), " ")</calculatedColumnFormula>
    </tableColumn>
    <tableColumn id="23" xr3:uid="{7EA59DB0-9028-490B-AFDA-4CA85BE170BB}" name="Prod Média" dataDxfId="109">
      <calculatedColumnFormula>(X7+W7)/2</calculatedColumnFormula>
    </tableColumn>
    <tableColumn id="14" xr3:uid="{B7BB33DF-4042-479F-8011-FB61DAC6FD04}" name="Tempo Prod F1" dataDxfId="108">
      <calculatedColumnFormula>MOD(BD_PROD!$G7-BD_PROD!$E7,1)</calculatedColumnFormula>
    </tableColumn>
    <tableColumn id="15" xr3:uid="{12016C5B-471F-4E2D-8C60-305A31435843}" name="Tempo Prod F2" dataDxfId="107">
      <calculatedColumnFormula>MOD(BD_PROD!$H7-BD_PROD!$F7,1)</calculatedColumnFormula>
    </tableColumn>
    <tableColumn id="16" xr3:uid="{7454E41B-E1C7-49E2-B321-4E0A494A2A9B}" name="Tempo Médio Produção Fornos" dataDxfId="106">
      <calculatedColumnFormula>(Q7+P7)/2</calculatedColumnFormula>
    </tableColumn>
    <tableColumn id="17" xr3:uid="{E82265C3-F5C7-4949-8C61-41CB9823E78F}" name="Paradas N prog F1" dataDxfId="105">
      <calculatedColumnFormula>SUMIFS(BD_PARADAS[Tempo],BD_PARADAS[[Data ]],BD_PROD!$B7,BD_PARADAS[Setor],"Forno 1") + SUMIFS(BD_PARADAS[Tempo],BD_PARADAS[[Data ]],BD_PROD!$B7,BD_PARADAS[Setor],"Ensaque 1")</calculatedColumnFormula>
    </tableColumn>
    <tableColumn id="18" xr3:uid="{1F627300-49D8-4478-A35A-0B6478B430D8}" name="Paradas N prog F2" dataDxfId="104">
      <calculatedColumnFormula>SUMIFS(BD_PARADAS[Tempo],BD_PARADAS[[Data ]],BD_PROD!$B7,BD_PARADAS[Setor],"Forno 2") + SUMIFS(BD_PARADAS[Tempo],BD_PARADAS[[Data ]],BD_PROD!$B7,BD_PARADAS[Setor],"Ensaque 2")</calculatedColumnFormula>
    </tableColumn>
    <tableColumn id="19" xr3:uid="{E72E99DC-2733-4243-9043-B6B22FAA434F}" name="Total Paradas N prog" dataDxfId="103">
      <calculatedColumnFormula>T7+S7</calculatedColumnFormula>
    </tableColumn>
    <tableColumn id="20" xr3:uid="{2EE28866-E72E-4EB8-AA9F-886B4F47810E}" name="Média Paradas n prog" dataDxfId="102">
      <calculatedColumnFormula>U7/2</calculatedColumnFormula>
    </tableColumn>
    <tableColumn id="21" xr3:uid="{F57F78D0-8D49-4FA1-A7B8-22130D936B6C}" name="Produtividade Ens 1" dataDxfId="101">
      <calculatedColumnFormula>MOD(J7-I7,1)</calculatedColumnFormula>
    </tableColumn>
    <tableColumn id="22" xr3:uid="{46F682E5-F56C-488A-A59B-23B1E6A7299A}" name="Prod Ens 2" dataDxfId="100">
      <calculatedColumnFormula>MOD(L7-K7,1)</calculatedColumnFormula>
    </tableColumn>
    <tableColumn id="24" xr3:uid="{FD21D2DC-A49C-41F1-A9DE-1CC2C2D29622}" name="Tempo Start L1" dataDxfId="99">
      <calculatedColumnFormula>MOD(I7-D7,1)</calculatedColumnFormula>
    </tableColumn>
    <tableColumn id="25" xr3:uid="{90B8D6C3-792E-4A74-9548-6765D60B950F}" name="TempoStart L2" dataDxfId="98">
      <calculatedColumnFormula>MOD(K7-D7,1)</calculatedColumnFormula>
    </tableColumn>
    <tableColumn id="26" xr3:uid="{06E856D7-77FA-4E95-A822-5AF89322D94B}" name="Média de Start" dataDxfId="97">
      <calculatedColumnFormula>(Z7+Y7)/2</calculatedColumnFormula>
    </tableColumn>
    <tableColumn id="27" xr3:uid="{8A206190-F53D-4F05-8492-ADB45B7252CC}" name="Tempo Parado" dataDxfId="96">
      <calculatedColumnFormula>AA7+V7</calculatedColumnFormula>
    </tableColumn>
    <tableColumn id="28" xr3:uid="{EDF03626-5D27-41D2-9BB5-1B2E64DE5848}" name="Carga Horária" dataDxfId="95">
      <calculatedColumnFormula>BD_PROD!$AB7+BD_PROD!$O7</calculatedColumnFormula>
    </tableColumn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94567-4A80-45F4-8CE2-42D0F1E61A0F}" name="BD_PARADAS" displayName="BD_PARADAS" ref="B2:H59" totalsRowShown="0" headerRowDxfId="94" dataDxfId="93">
  <autoFilter ref="B2:H59" xr:uid="{75B94567-4A80-45F4-8CE2-42D0F1E61A0F}"/>
  <sortState xmlns:xlrd2="http://schemas.microsoft.com/office/spreadsheetml/2017/richdata2" ref="B3:H58">
    <sortCondition descending="1" ref="G3:G59"/>
  </sortState>
  <tableColumns count="7">
    <tableColumn id="1" xr3:uid="{60A69599-E6DF-4C57-92CB-0EB99FBEAE21}" name="Data " dataDxfId="92"/>
    <tableColumn id="2" xr3:uid="{0DC19201-B2B5-4204-9F1B-6E519DF35B31}" name="Setor" dataDxfId="91"/>
    <tableColumn id="7" xr3:uid="{2DF5AB45-6CFC-4C25-9090-56BEA4C553A8}" name="Turno" dataDxfId="90"/>
    <tableColumn id="6" xr3:uid="{6282DFD1-8F90-47B9-AC78-07E9369C6C3A}" name="Causa" dataDxfId="89"/>
    <tableColumn id="3" xr3:uid="{AECBE111-0AA4-476C-9194-660CC3BEBDA8}" name="Motivo" dataDxfId="88"/>
    <tableColumn id="4" xr3:uid="{36603A17-4AA6-4632-B21F-695850506FE1}" name="Tempo" dataDxfId="87"/>
    <tableColumn id="5" xr3:uid="{AB9E7B12-66FD-4469-8C14-AF3FECDD6299}" name="Causa Raiz" dataDxfId="8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Relationship Id="rId5" Type="http://schemas.openxmlformats.org/officeDocument/2006/relationships/comments" Target="../comments1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728E-CFEC-4B22-8473-C9A6D2CC2359}">
  <dimension ref="A4:AM56"/>
  <sheetViews>
    <sheetView showGridLines="0" zoomScale="80" zoomScaleNormal="80" workbookViewId="0">
      <pane ySplit="5" topLeftCell="A146" activePane="bottomLeft" state="frozen"/>
      <selection pane="bottomLeft"/>
    </sheetView>
  </sheetViews>
  <sheetFormatPr defaultColWidth="9.140625" defaultRowHeight="15" x14ac:dyDescent="0.25"/>
  <cols>
    <col min="1" max="1" width="1.85546875" customWidth="1"/>
    <col min="2" max="2" width="11.5703125" style="4" bestFit="1" customWidth="1"/>
    <col min="3" max="3" width="23" style="39" bestFit="1" customWidth="1"/>
    <col min="4" max="4" width="23.5703125" style="3" bestFit="1" customWidth="1"/>
    <col min="5" max="6" width="14.28515625" style="3" bestFit="1" customWidth="1"/>
    <col min="7" max="8" width="13" style="3" bestFit="1" customWidth="1"/>
    <col min="9" max="9" width="23.85546875" style="3" bestFit="1" customWidth="1"/>
    <col min="10" max="10" width="20" style="3" bestFit="1" customWidth="1"/>
    <col min="11" max="11" width="21.28515625" style="3" bestFit="1" customWidth="1"/>
    <col min="12" max="12" width="20" style="3" bestFit="1" customWidth="1"/>
    <col min="13" max="13" width="19.28515625" bestFit="1" customWidth="1"/>
    <col min="14" max="14" width="17" bestFit="1" customWidth="1"/>
    <col min="15" max="15" width="20.28515625" style="3" bestFit="1" customWidth="1"/>
    <col min="16" max="16" width="20.28515625" style="44" bestFit="1" customWidth="1"/>
    <col min="17" max="17" width="34.85546875" style="3" bestFit="1" customWidth="1"/>
    <col min="18" max="19" width="23.140625" style="3" bestFit="1" customWidth="1"/>
    <col min="20" max="20" width="25.7109375" style="3" bestFit="1" customWidth="1"/>
    <col min="21" max="21" width="26.42578125" style="3" bestFit="1" customWidth="1"/>
    <col min="22" max="22" width="24.5703125" style="45" bestFit="1" customWidth="1"/>
    <col min="23" max="23" width="16" style="45" bestFit="1" customWidth="1"/>
    <col min="24" max="24" width="17" bestFit="1" customWidth="1"/>
    <col min="25" max="25" width="20.5703125" bestFit="1" customWidth="1"/>
    <col min="26" max="26" width="20" style="3" bestFit="1" customWidth="1"/>
    <col min="27" max="27" width="20.140625" style="3" bestFit="1" customWidth="1"/>
    <col min="28" max="28" width="19.5703125" style="3" bestFit="1" customWidth="1"/>
    <col min="29" max="29" width="19.140625" style="3" bestFit="1" customWidth="1"/>
    <col min="30" max="32" width="21" style="3" customWidth="1"/>
    <col min="33" max="33" width="19.140625" style="1" customWidth="1"/>
    <col min="34" max="34" width="2.85546875" customWidth="1"/>
    <col min="35" max="35" width="12.7109375" style="2" customWidth="1"/>
    <col min="36" max="36" width="10.28515625" customWidth="1"/>
    <col min="37" max="37" width="11.5703125" style="4" customWidth="1"/>
    <col min="38" max="39" width="9.140625" style="1"/>
  </cols>
  <sheetData>
    <row r="4" spans="1:39" x14ac:dyDescent="0.25">
      <c r="M4" s="3"/>
      <c r="N4" s="3"/>
      <c r="V4" s="44"/>
      <c r="W4" s="44"/>
      <c r="X4" s="3"/>
      <c r="Y4" s="3"/>
      <c r="AB4" s="1"/>
      <c r="AC4"/>
      <c r="AD4"/>
      <c r="AE4" s="4"/>
      <c r="AF4" s="1"/>
      <c r="AI4"/>
      <c r="AK4"/>
      <c r="AL4"/>
      <c r="AM4"/>
    </row>
    <row r="5" spans="1:39" ht="20.25" customHeight="1" x14ac:dyDescent="0.25">
      <c r="M5" s="3"/>
      <c r="N5" s="3"/>
      <c r="V5" s="44"/>
      <c r="W5" s="44"/>
      <c r="X5" s="3"/>
      <c r="Y5" s="3"/>
      <c r="AB5" s="1"/>
      <c r="AC5"/>
      <c r="AD5"/>
      <c r="AE5" s="4"/>
      <c r="AF5" s="1"/>
      <c r="AI5"/>
      <c r="AK5"/>
      <c r="AL5"/>
      <c r="AM5"/>
    </row>
    <row r="6" spans="1:39" s="21" customFormat="1" ht="30" x14ac:dyDescent="0.25">
      <c r="A6" s="19"/>
      <c r="B6" s="46" t="s">
        <v>5</v>
      </c>
      <c r="C6" s="47" t="s">
        <v>39</v>
      </c>
      <c r="D6" s="48" t="s">
        <v>13</v>
      </c>
      <c r="E6" s="48" t="s">
        <v>14</v>
      </c>
      <c r="F6" s="48" t="s">
        <v>15</v>
      </c>
      <c r="G6" s="48" t="s">
        <v>16</v>
      </c>
      <c r="H6" s="48" t="s">
        <v>17</v>
      </c>
      <c r="I6" s="48" t="s">
        <v>24</v>
      </c>
      <c r="J6" s="48" t="s">
        <v>30</v>
      </c>
      <c r="K6" s="48" t="s">
        <v>25</v>
      </c>
      <c r="L6" s="48" t="s">
        <v>31</v>
      </c>
      <c r="M6" s="48" t="s">
        <v>35</v>
      </c>
      <c r="N6" s="48" t="s">
        <v>36</v>
      </c>
      <c r="O6" s="48" t="s">
        <v>34</v>
      </c>
      <c r="P6" s="48" t="s">
        <v>18</v>
      </c>
      <c r="Q6" s="49" t="s">
        <v>19</v>
      </c>
      <c r="R6" s="48" t="s">
        <v>45</v>
      </c>
      <c r="S6" s="48" t="s">
        <v>20</v>
      </c>
      <c r="T6" s="48" t="s">
        <v>21</v>
      </c>
      <c r="U6" s="48" t="s">
        <v>22</v>
      </c>
      <c r="V6" s="48" t="s">
        <v>23</v>
      </c>
      <c r="W6" s="49" t="s">
        <v>32</v>
      </c>
      <c r="X6" s="49" t="s">
        <v>33</v>
      </c>
      <c r="Y6" s="48" t="s">
        <v>26</v>
      </c>
      <c r="Z6" s="48" t="s">
        <v>27</v>
      </c>
      <c r="AA6" s="48" t="s">
        <v>28</v>
      </c>
      <c r="AB6" s="50" t="s">
        <v>29</v>
      </c>
      <c r="AC6" s="48" t="s">
        <v>1</v>
      </c>
      <c r="AD6" s="19"/>
      <c r="AE6" s="20"/>
      <c r="AF6" s="19"/>
      <c r="AG6" s="19"/>
      <c r="AH6" s="19"/>
      <c r="AI6" s="19"/>
      <c r="AJ6" s="19"/>
      <c r="AK6" s="19"/>
      <c r="AL6" s="19"/>
      <c r="AM6" s="19"/>
    </row>
    <row r="7" spans="1:39" x14ac:dyDescent="0.25">
      <c r="B7" s="51">
        <v>46055</v>
      </c>
      <c r="C7" s="52">
        <v>61061</v>
      </c>
      <c r="D7" s="53">
        <v>0.875</v>
      </c>
      <c r="E7" s="53">
        <v>3.125E-2</v>
      </c>
      <c r="F7" s="53">
        <v>0.98888888888888893</v>
      </c>
      <c r="G7" s="53">
        <v>0.70277777777777772</v>
      </c>
      <c r="H7" s="53">
        <v>0.6791666666666667</v>
      </c>
      <c r="I7" s="53">
        <v>3.125E-2</v>
      </c>
      <c r="J7" s="53">
        <v>0.68055555555555558</v>
      </c>
      <c r="K7" s="53">
        <v>0.99027777777777781</v>
      </c>
      <c r="L7" s="53">
        <v>0.66111111111111109</v>
      </c>
      <c r="M7" s="54">
        <v>43500</v>
      </c>
      <c r="N7" s="55">
        <f t="shared" ref="N7:N26" si="0">IFERROR(M7/(O7*24), " ")</f>
        <v>2745.9231983166756</v>
      </c>
      <c r="O7" s="53">
        <f>(X7+W7)/2</f>
        <v>0.66006944444444438</v>
      </c>
      <c r="P7" s="56">
        <f>MOD(BD_PROD!$G7-BD_PROD!$E7,1)</f>
        <v>0.67152777777777772</v>
      </c>
      <c r="Q7" s="56">
        <f>MOD(BD_PROD!$H7-BD_PROD!$F7,1)</f>
        <v>0.69027777777777777</v>
      </c>
      <c r="R7" s="53">
        <f>(Q7+P7)/2</f>
        <v>0.68090277777777775</v>
      </c>
      <c r="S7" s="53">
        <f>SUMIFS(BD_PARADAS[Tempo],BD_PARADAS[[Data ]],BD_PROD!$B7,BD_PARADAS[Setor],"Forno 1") + SUMIFS(BD_PARADAS[Tempo],BD_PARADAS[[Data ]],BD_PROD!$B7,BD_PARADAS[Setor],"Ensaque 1")</f>
        <v>0</v>
      </c>
      <c r="T7" s="53">
        <f>SUMIFS(BD_PARADAS[Tempo],BD_PARADAS[[Data ]],BD_PROD!$B7,BD_PARADAS[Setor],"Forno 2") + SUMIFS(BD_PARADAS[Tempo],BD_PARADAS[[Data ]],BD_PROD!$B7,BD_PARADAS[Setor],"Ensaque 2")</f>
        <v>4.5138888888888888E-2</v>
      </c>
      <c r="U7" s="53">
        <f>T7+S7</f>
        <v>4.5138888888888888E-2</v>
      </c>
      <c r="V7" s="53">
        <f>U7/2</f>
        <v>2.2569444444444444E-2</v>
      </c>
      <c r="W7" s="56">
        <f t="shared" ref="W7:W26" si="1">MOD(J7-I7,1)</f>
        <v>0.64930555555555558</v>
      </c>
      <c r="X7" s="56">
        <f t="shared" ref="X7:X26" si="2">MOD(L7-K7,1)</f>
        <v>0.67083333333333328</v>
      </c>
      <c r="Y7" s="53">
        <f t="shared" ref="Y7:Y26" si="3">MOD(I7-D7,1)</f>
        <v>0.15625</v>
      </c>
      <c r="Z7" s="53">
        <f>MOD(K7-D7,1)</f>
        <v>0.11527777777777781</v>
      </c>
      <c r="AA7" s="53">
        <f t="shared" ref="AA7:AA26" si="4">(Z7+Y7)/2</f>
        <v>0.13576388888888891</v>
      </c>
      <c r="AB7" s="53">
        <f>AA7+V7</f>
        <v>0.15833333333333335</v>
      </c>
      <c r="AC7" s="53">
        <f>BD_PROD!$AB7+BD_PROD!$O7</f>
        <v>0.8184027777777777</v>
      </c>
    </row>
    <row r="8" spans="1:39" x14ac:dyDescent="0.25">
      <c r="B8" s="51">
        <v>46056</v>
      </c>
      <c r="C8" s="52">
        <v>58058</v>
      </c>
      <c r="D8" s="53">
        <v>0.875</v>
      </c>
      <c r="E8" s="53">
        <v>0.94444444444444442</v>
      </c>
      <c r="F8" s="53">
        <v>0.9375</v>
      </c>
      <c r="G8" s="53">
        <v>0.38194444444444442</v>
      </c>
      <c r="H8" s="53">
        <v>0.68055555555555558</v>
      </c>
      <c r="I8" s="53">
        <v>0.94513888888888886</v>
      </c>
      <c r="J8" s="53">
        <v>0.38194444444444442</v>
      </c>
      <c r="K8" s="53">
        <v>0.93819444444444444</v>
      </c>
      <c r="L8" s="53">
        <v>0.68125000000000002</v>
      </c>
      <c r="M8" s="54">
        <v>44500</v>
      </c>
      <c r="N8" s="55">
        <f t="shared" si="0"/>
        <v>3143.025309005297</v>
      </c>
      <c r="O8" s="53">
        <f t="shared" ref="O8:O26" si="5">(X8+W8)/2</f>
        <v>0.58993055555555562</v>
      </c>
      <c r="P8" s="56">
        <f>MOD(BD_PROD!$G8-BD_PROD!$E8,1)</f>
        <v>0.4375</v>
      </c>
      <c r="Q8" s="56">
        <f>MOD(BD_PROD!$H8-BD_PROD!$F8,1)</f>
        <v>0.74305555555555558</v>
      </c>
      <c r="R8" s="53">
        <f t="shared" ref="R8:R26" si="6">(Q8+P8)/2</f>
        <v>0.59027777777777779</v>
      </c>
      <c r="S8" s="53">
        <f>SUMIFS(BD_PARADAS[Tempo],BD_PARADAS[[Data ]],BD_PROD!$B8,BD_PARADAS[Setor],"Forno 1") + SUMIFS(BD_PARADAS[Tempo],BD_PARADAS[[Data ]],BD_PROD!$B8,BD_PARADAS[Setor],"Ensaque 1")</f>
        <v>0.39097222222222222</v>
      </c>
      <c r="T8" s="53">
        <f>SUMIFS(BD_PARADAS[Tempo],BD_PARADAS[[Data ]],BD_PROD!$B8,BD_PARADAS[Setor],"Forno 2") + SUMIFS(BD_PARADAS[Tempo],BD_PARADAS[[Data ]],BD_PROD!$B8,BD_PARADAS[Setor],"Ensaque 2")</f>
        <v>0</v>
      </c>
      <c r="U8" s="53">
        <f t="shared" ref="U8:U26" si="7">T8+S8</f>
        <v>0.39097222222222222</v>
      </c>
      <c r="V8" s="53">
        <f t="shared" ref="V8:V26" si="8">U8/2</f>
        <v>0.19548611111111111</v>
      </c>
      <c r="W8" s="56">
        <f t="shared" si="1"/>
        <v>0.43680555555555556</v>
      </c>
      <c r="X8" s="56">
        <f t="shared" si="2"/>
        <v>0.74305555555555558</v>
      </c>
      <c r="Y8" s="53">
        <f t="shared" si="3"/>
        <v>7.0138888888888862E-2</v>
      </c>
      <c r="Z8" s="53">
        <f t="shared" ref="Z8:Z26" si="9">MOD(K8-D8,1)</f>
        <v>6.3194444444444442E-2</v>
      </c>
      <c r="AA8" s="53">
        <f t="shared" si="4"/>
        <v>6.6666666666666652E-2</v>
      </c>
      <c r="AB8" s="53">
        <f t="shared" ref="AB8:AB26" si="10">AA8+V8</f>
        <v>0.26215277777777779</v>
      </c>
      <c r="AC8" s="53">
        <f>BD_PROD!$AB8+BD_PROD!$O8</f>
        <v>0.85208333333333341</v>
      </c>
    </row>
    <row r="9" spans="1:39" x14ac:dyDescent="0.25">
      <c r="B9" s="51">
        <v>46057</v>
      </c>
      <c r="C9" s="52">
        <v>57921</v>
      </c>
      <c r="D9" s="53">
        <v>0.875</v>
      </c>
      <c r="E9" s="53">
        <v>0.94791666666666663</v>
      </c>
      <c r="F9" s="53">
        <v>0.94097222222222221</v>
      </c>
      <c r="G9" s="53">
        <v>0.68402777777777779</v>
      </c>
      <c r="H9" s="53">
        <v>0.68194444444444446</v>
      </c>
      <c r="I9" s="53">
        <v>0.94861111111111107</v>
      </c>
      <c r="J9" s="53">
        <v>0.66249999999999998</v>
      </c>
      <c r="K9" s="53">
        <v>0.94166666666666665</v>
      </c>
      <c r="L9" s="53">
        <v>0.66666666666666663</v>
      </c>
      <c r="M9" s="54">
        <v>51300</v>
      </c>
      <c r="N9" s="55">
        <f t="shared" si="0"/>
        <v>2971.0424710424713</v>
      </c>
      <c r="O9" s="53">
        <f t="shared" si="5"/>
        <v>0.71944444444444444</v>
      </c>
      <c r="P9" s="56">
        <f>MOD(BD_PROD!$G9-BD_PROD!$E9,1)</f>
        <v>0.73611111111111116</v>
      </c>
      <c r="Q9" s="56">
        <f>MOD(BD_PROD!$H9-BD_PROD!$F9,1)</f>
        <v>0.74097222222222225</v>
      </c>
      <c r="R9" s="53">
        <f t="shared" si="6"/>
        <v>0.73854166666666665</v>
      </c>
      <c r="S9" s="53">
        <f>SUMIFS(BD_PARADAS[Tempo],BD_PARADAS[[Data ]],BD_PROD!$B9,BD_PARADAS[Setor],"Forno 1") + SUMIFS(BD_PARADAS[Tempo],BD_PARADAS[[Data ]],BD_PROD!$B9,BD_PARADAS[Setor],"Ensaque 1")</f>
        <v>0</v>
      </c>
      <c r="T9" s="53">
        <f>SUMIFS(BD_PARADAS[Tempo],BD_PARADAS[[Data ]],BD_PROD!$B9,BD_PARADAS[Setor],"Forno 2") + SUMIFS(BD_PARADAS[Tempo],BD_PARADAS[[Data ]],BD_PROD!$B9,BD_PARADAS[Setor],"Ensaque 2")</f>
        <v>0</v>
      </c>
      <c r="U9" s="53">
        <f t="shared" si="7"/>
        <v>0</v>
      </c>
      <c r="V9" s="53">
        <f t="shared" si="8"/>
        <v>0</v>
      </c>
      <c r="W9" s="56">
        <f t="shared" si="1"/>
        <v>0.71388888888888891</v>
      </c>
      <c r="X9" s="56">
        <f t="shared" si="2"/>
        <v>0.72499999999999998</v>
      </c>
      <c r="Y9" s="53">
        <f t="shared" si="3"/>
        <v>7.3611111111111072E-2</v>
      </c>
      <c r="Z9" s="53">
        <f t="shared" si="9"/>
        <v>6.6666666666666652E-2</v>
      </c>
      <c r="AA9" s="53">
        <f t="shared" si="4"/>
        <v>7.0138888888888862E-2</v>
      </c>
      <c r="AB9" s="53">
        <f t="shared" si="10"/>
        <v>7.0138888888888862E-2</v>
      </c>
      <c r="AC9" s="53">
        <f>BD_PROD!$AB9+BD_PROD!$O9</f>
        <v>0.7895833333333333</v>
      </c>
    </row>
    <row r="10" spans="1:39" x14ac:dyDescent="0.25">
      <c r="B10" s="51">
        <v>46058</v>
      </c>
      <c r="C10" s="52">
        <v>66277</v>
      </c>
      <c r="D10" s="53">
        <v>0.875</v>
      </c>
      <c r="E10" s="53">
        <v>0.94305555555555554</v>
      </c>
      <c r="F10" s="53">
        <v>0.94513888888888886</v>
      </c>
      <c r="G10" s="53">
        <v>0.68888888888888888</v>
      </c>
      <c r="H10" s="53">
        <v>0.72083333333333333</v>
      </c>
      <c r="I10" s="53">
        <v>0.94444444444444442</v>
      </c>
      <c r="J10" s="53">
        <v>0.72222222222222221</v>
      </c>
      <c r="K10" s="53">
        <v>0.9458333333333333</v>
      </c>
      <c r="L10" s="53">
        <v>0.67500000000000004</v>
      </c>
      <c r="M10" s="54">
        <v>67150</v>
      </c>
      <c r="N10" s="55">
        <f t="shared" si="0"/>
        <v>3713.3640552995389</v>
      </c>
      <c r="O10" s="53">
        <f t="shared" si="5"/>
        <v>0.75347222222222232</v>
      </c>
      <c r="P10" s="56">
        <f>MOD(BD_PROD!$G10-BD_PROD!$E10,1)</f>
        <v>0.74583333333333335</v>
      </c>
      <c r="Q10" s="56">
        <f>MOD(BD_PROD!$H10-BD_PROD!$F10,1)</f>
        <v>0.77569444444444446</v>
      </c>
      <c r="R10" s="53">
        <f t="shared" si="6"/>
        <v>0.76076388888888891</v>
      </c>
      <c r="S10" s="53">
        <f>SUMIFS(BD_PARADAS[Tempo],BD_PARADAS[[Data ]],BD_PROD!$B10,BD_PARADAS[Setor],"Forno 1") + SUMIFS(BD_PARADAS[Tempo],BD_PARADAS[[Data ]],BD_PROD!$B10,BD_PARADAS[Setor],"Ensaque 1")</f>
        <v>4.8611111111111112E-3</v>
      </c>
      <c r="T10" s="53">
        <f>SUMIFS(BD_PARADAS[Tempo],BD_PARADAS[[Data ]],BD_PROD!$B10,BD_PARADAS[Setor],"Forno 2") + SUMIFS(BD_PARADAS[Tempo],BD_PARADAS[[Data ]],BD_PROD!$B10,BD_PARADAS[Setor],"Ensaque 2")</f>
        <v>1.5277777777777777E-2</v>
      </c>
      <c r="U10" s="53">
        <f t="shared" si="7"/>
        <v>2.0138888888888887E-2</v>
      </c>
      <c r="V10" s="53">
        <f t="shared" si="8"/>
        <v>1.0069444444444443E-2</v>
      </c>
      <c r="W10" s="56">
        <f t="shared" si="1"/>
        <v>0.77777777777777779</v>
      </c>
      <c r="X10" s="56">
        <f t="shared" si="2"/>
        <v>0.72916666666666674</v>
      </c>
      <c r="Y10" s="53">
        <f t="shared" si="3"/>
        <v>6.944444444444442E-2</v>
      </c>
      <c r="Z10" s="53">
        <f t="shared" si="9"/>
        <v>7.0833333333333304E-2</v>
      </c>
      <c r="AA10" s="53">
        <f t="shared" si="4"/>
        <v>7.0138888888888862E-2</v>
      </c>
      <c r="AB10" s="53">
        <f t="shared" si="10"/>
        <v>8.0208333333333298E-2</v>
      </c>
      <c r="AC10" s="53">
        <f>BD_PROD!$AB10+BD_PROD!$O10</f>
        <v>0.83368055555555565</v>
      </c>
    </row>
    <row r="11" spans="1:39" x14ac:dyDescent="0.25">
      <c r="B11" s="51">
        <v>46059</v>
      </c>
      <c r="C11" s="52">
        <v>35743</v>
      </c>
      <c r="D11" s="53">
        <v>0.875</v>
      </c>
      <c r="E11" s="53">
        <v>0.94722222222222219</v>
      </c>
      <c r="F11" s="53">
        <v>0.94236111111111109</v>
      </c>
      <c r="G11" s="53">
        <v>0.35416666666666669</v>
      </c>
      <c r="H11" s="53">
        <v>0.35416666666666669</v>
      </c>
      <c r="I11" s="53">
        <v>0.94791666666666663</v>
      </c>
      <c r="J11" s="53">
        <v>0.3576388888888889</v>
      </c>
      <c r="K11" s="53">
        <v>0.94305555555555554</v>
      </c>
      <c r="L11" s="53">
        <v>0.3576388888888889</v>
      </c>
      <c r="M11" s="54">
        <v>33700</v>
      </c>
      <c r="N11" s="55">
        <f t="shared" si="0"/>
        <v>3406.9081718618363</v>
      </c>
      <c r="O11" s="53">
        <f t="shared" si="5"/>
        <v>0.41215277777777781</v>
      </c>
      <c r="P11" s="56">
        <f>MOD(BD_PROD!$G11-BD_PROD!$E11,1)</f>
        <v>0.40694444444444455</v>
      </c>
      <c r="Q11" s="56">
        <f>MOD(BD_PROD!$H11-BD_PROD!$F11,1)</f>
        <v>0.41180555555555554</v>
      </c>
      <c r="R11" s="53">
        <f t="shared" si="6"/>
        <v>0.40937500000000004</v>
      </c>
      <c r="S11" s="53">
        <f>SUMIFS(BD_PARADAS[Tempo],BD_PARADAS[[Data ]],BD_PROD!$B11,BD_PARADAS[Setor],"Forno 1") + SUMIFS(BD_PARADAS[Tempo],BD_PARADAS[[Data ]],BD_PROD!$B11,BD_PARADAS[Setor],"Ensaque 1")</f>
        <v>3.472222222222222E-3</v>
      </c>
      <c r="T11" s="53">
        <f>SUMIFS(BD_PARADAS[Tempo],BD_PARADAS[[Data ]],BD_PROD!$B11,BD_PARADAS[Setor],"Forno 2") + SUMIFS(BD_PARADAS[Tempo],BD_PARADAS[[Data ]],BD_PROD!$B11,BD_PARADAS[Setor],"Ensaque 2")</f>
        <v>3.472222222222222E-3</v>
      </c>
      <c r="U11" s="53">
        <f t="shared" si="7"/>
        <v>6.9444444444444441E-3</v>
      </c>
      <c r="V11" s="53">
        <f t="shared" si="8"/>
        <v>3.472222222222222E-3</v>
      </c>
      <c r="W11" s="56">
        <f t="shared" si="1"/>
        <v>0.40972222222222232</v>
      </c>
      <c r="X11" s="56">
        <f t="shared" si="2"/>
        <v>0.4145833333333333</v>
      </c>
      <c r="Y11" s="53">
        <f t="shared" si="3"/>
        <v>7.291666666666663E-2</v>
      </c>
      <c r="Z11" s="53">
        <f t="shared" si="9"/>
        <v>6.8055555555555536E-2</v>
      </c>
      <c r="AA11" s="53">
        <f t="shared" si="4"/>
        <v>7.0486111111111083E-2</v>
      </c>
      <c r="AB11" s="53">
        <f t="shared" si="10"/>
        <v>7.3958333333333307E-2</v>
      </c>
      <c r="AC11" s="53">
        <f>BD_PROD!$AB11+BD_PROD!$O11</f>
        <v>0.4861111111111111</v>
      </c>
    </row>
    <row r="12" spans="1:39" x14ac:dyDescent="0.25">
      <c r="B12" s="51">
        <v>46062</v>
      </c>
      <c r="C12" s="52">
        <v>56282</v>
      </c>
      <c r="D12" s="53">
        <v>0.875</v>
      </c>
      <c r="E12" s="53">
        <v>0.95833333333333337</v>
      </c>
      <c r="F12" s="53">
        <v>0.94444444444444442</v>
      </c>
      <c r="G12" s="53">
        <v>0.71666666666666667</v>
      </c>
      <c r="H12" s="53">
        <v>0.70277777777777772</v>
      </c>
      <c r="I12" s="53">
        <v>0.95972222222222225</v>
      </c>
      <c r="J12" s="53">
        <v>0.70625000000000004</v>
      </c>
      <c r="K12" s="53">
        <v>0.9458333333333333</v>
      </c>
      <c r="L12" s="53">
        <v>0.66805555555555551</v>
      </c>
      <c r="M12" s="54">
        <v>46800</v>
      </c>
      <c r="N12" s="55">
        <f t="shared" si="0"/>
        <v>2655.3191489361702</v>
      </c>
      <c r="O12" s="53">
        <f t="shared" si="5"/>
        <v>0.734375</v>
      </c>
      <c r="P12" s="56">
        <f>MOD(BD_PROD!$G12-BD_PROD!$E12,1)</f>
        <v>0.7583333333333333</v>
      </c>
      <c r="Q12" s="56">
        <f>MOD(BD_PROD!$H12-BD_PROD!$F12,1)</f>
        <v>0.7583333333333333</v>
      </c>
      <c r="R12" s="53">
        <f t="shared" si="6"/>
        <v>0.7583333333333333</v>
      </c>
      <c r="S12" s="53">
        <f>SUMIFS(BD_PARADAS[Tempo],BD_PARADAS[[Data ]],BD_PROD!$B12,BD_PARADAS[Setor],"Forno 1") + SUMIFS(BD_PARADAS[Tempo],BD_PARADAS[[Data ]],BD_PROD!$B12,BD_PARADAS[Setor],"Ensaque 1")</f>
        <v>8.3333333333333329E-2</v>
      </c>
      <c r="T12" s="53">
        <f>SUMIFS(BD_PARADAS[Tempo],BD_PARADAS[[Data ]],BD_PROD!$B12,BD_PARADAS[Setor],"Forno 2") + SUMIFS(BD_PARADAS[Tempo],BD_PARADAS[[Data ]],BD_PROD!$B12,BD_PARADAS[Setor],"Ensaque 2")</f>
        <v>0</v>
      </c>
      <c r="U12" s="53">
        <f t="shared" si="7"/>
        <v>8.3333333333333329E-2</v>
      </c>
      <c r="V12" s="53">
        <f t="shared" si="8"/>
        <v>4.1666666666666664E-2</v>
      </c>
      <c r="W12" s="56">
        <f t="shared" si="1"/>
        <v>0.74652777777777779</v>
      </c>
      <c r="X12" s="56">
        <f>MOD(L12-K12,1)</f>
        <v>0.72222222222222221</v>
      </c>
      <c r="Y12" s="53">
        <f t="shared" si="3"/>
        <v>8.4722222222222254E-2</v>
      </c>
      <c r="Z12" s="53">
        <f t="shared" si="9"/>
        <v>7.0833333333333304E-2</v>
      </c>
      <c r="AA12" s="53">
        <f t="shared" si="4"/>
        <v>7.7777777777777779E-2</v>
      </c>
      <c r="AB12" s="53">
        <f t="shared" si="10"/>
        <v>0.11944444444444444</v>
      </c>
      <c r="AC12" s="53">
        <f>BD_PROD!$AB12+BD_PROD!$O12</f>
        <v>0.85381944444444446</v>
      </c>
    </row>
    <row r="13" spans="1:39" x14ac:dyDescent="0.25">
      <c r="B13" s="51">
        <v>46063</v>
      </c>
      <c r="C13" s="52">
        <v>54542</v>
      </c>
      <c r="D13" s="53">
        <v>0.875</v>
      </c>
      <c r="E13" s="53">
        <v>0.94791666666666663</v>
      </c>
      <c r="F13" s="53">
        <v>0.94097222222222221</v>
      </c>
      <c r="G13" s="53">
        <v>0.70416666666666672</v>
      </c>
      <c r="H13" s="53">
        <v>0.70416666666666672</v>
      </c>
      <c r="I13" s="53">
        <v>0.94861111111111107</v>
      </c>
      <c r="J13" s="53">
        <v>0.69791666666666663</v>
      </c>
      <c r="K13" s="53">
        <v>0.94236111111111109</v>
      </c>
      <c r="L13" s="53">
        <v>0.68402777777777779</v>
      </c>
      <c r="M13" s="54">
        <v>52350</v>
      </c>
      <c r="N13" s="55">
        <f t="shared" si="0"/>
        <v>2925.9431765253844</v>
      </c>
      <c r="O13" s="53">
        <f t="shared" si="5"/>
        <v>0.74548611111111107</v>
      </c>
      <c r="P13" s="56">
        <f>MOD(BD_PROD!$G13-BD_PROD!$E13,1)</f>
        <v>0.75625000000000009</v>
      </c>
      <c r="Q13" s="56">
        <f>MOD(BD_PROD!$H13-BD_PROD!$F13,1)</f>
        <v>0.76319444444444451</v>
      </c>
      <c r="R13" s="53">
        <f t="shared" si="6"/>
        <v>0.7597222222222223</v>
      </c>
      <c r="S13" s="53">
        <f>SUMIFS(BD_PARADAS[Tempo],BD_PARADAS[[Data ]],BD_PROD!$B13,BD_PARADAS[Setor],"Forno 1") + SUMIFS(BD_PARADAS[Tempo],BD_PARADAS[[Data ]],BD_PROD!$B13,BD_PARADAS[Setor],"Ensaque 1")</f>
        <v>0</v>
      </c>
      <c r="T13" s="53">
        <f>SUMIFS(BD_PARADAS[Tempo],BD_PARADAS[[Data ]],BD_PROD!$B13,BD_PARADAS[Setor],"Forno 2") + SUMIFS(BD_PARADAS[Tempo],BD_PARADAS[[Data ]],BD_PROD!$B13,BD_PARADAS[Setor],"Ensaque 2")</f>
        <v>0</v>
      </c>
      <c r="U13" s="53">
        <f t="shared" si="7"/>
        <v>0</v>
      </c>
      <c r="V13" s="53">
        <f t="shared" si="8"/>
        <v>0</v>
      </c>
      <c r="W13" s="56">
        <f t="shared" si="1"/>
        <v>0.74930555555555556</v>
      </c>
      <c r="X13" s="56">
        <f t="shared" si="2"/>
        <v>0.7416666666666667</v>
      </c>
      <c r="Y13" s="53">
        <f t="shared" si="3"/>
        <v>7.3611111111111072E-2</v>
      </c>
      <c r="Z13" s="53">
        <f t="shared" si="9"/>
        <v>6.7361111111111094E-2</v>
      </c>
      <c r="AA13" s="53">
        <f t="shared" si="4"/>
        <v>7.0486111111111083E-2</v>
      </c>
      <c r="AB13" s="53">
        <f t="shared" si="10"/>
        <v>7.0486111111111083E-2</v>
      </c>
      <c r="AC13" s="53">
        <f>BD_PROD!$AB13+BD_PROD!$O13</f>
        <v>0.8159722222222221</v>
      </c>
    </row>
    <row r="14" spans="1:39" x14ac:dyDescent="0.25">
      <c r="B14" s="51">
        <v>46064</v>
      </c>
      <c r="C14" s="52">
        <v>54542</v>
      </c>
      <c r="D14" s="53">
        <v>0.875</v>
      </c>
      <c r="E14" s="53">
        <v>0.94791666666666663</v>
      </c>
      <c r="F14" s="53">
        <v>0.9375</v>
      </c>
      <c r="G14" s="53">
        <v>0.70486111111111116</v>
      </c>
      <c r="H14" s="53">
        <v>0.70138888888888884</v>
      </c>
      <c r="I14" s="53">
        <v>0.94861111111111107</v>
      </c>
      <c r="J14" s="53">
        <v>0.7006944444444444</v>
      </c>
      <c r="K14" s="53">
        <v>0.93888888888888888</v>
      </c>
      <c r="L14" s="53">
        <v>0.68958333333333333</v>
      </c>
      <c r="M14" s="54">
        <v>53150</v>
      </c>
      <c r="N14" s="55">
        <f t="shared" si="0"/>
        <v>2947.3197781885401</v>
      </c>
      <c r="O14" s="53">
        <f t="shared" si="5"/>
        <v>0.75138888888888888</v>
      </c>
      <c r="P14" s="56">
        <f>MOD(BD_PROD!$G14-BD_PROD!$E14,1)</f>
        <v>0.75694444444444453</v>
      </c>
      <c r="Q14" s="56">
        <f>MOD(BD_PROD!$H14-BD_PROD!$F14,1)</f>
        <v>0.76388888888888884</v>
      </c>
      <c r="R14" s="53">
        <f t="shared" si="6"/>
        <v>0.76041666666666674</v>
      </c>
      <c r="S14" s="53">
        <f>SUMIFS(BD_PARADAS[Tempo],BD_PARADAS[[Data ]],BD_PROD!$B14,BD_PARADAS[Setor],"Forno 1") + SUMIFS(BD_PARADAS[Tempo],BD_PARADAS[[Data ]],BD_PROD!$B14,BD_PARADAS[Setor],"Ensaque 1")</f>
        <v>5.2083333333333336E-2</v>
      </c>
      <c r="T14" s="53">
        <f>SUMIFS(BD_PARADAS[Tempo],BD_PARADAS[[Data ]],BD_PROD!$B14,BD_PARADAS[Setor],"Forno 2") + SUMIFS(BD_PARADAS[Tempo],BD_PARADAS[[Data ]],BD_PROD!$B14,BD_PARADAS[Setor],"Ensaque 2")</f>
        <v>0</v>
      </c>
      <c r="U14" s="53">
        <f t="shared" si="7"/>
        <v>5.2083333333333336E-2</v>
      </c>
      <c r="V14" s="53">
        <f t="shared" si="8"/>
        <v>2.6041666666666668E-2</v>
      </c>
      <c r="W14" s="56">
        <f t="shared" si="1"/>
        <v>0.75208333333333333</v>
      </c>
      <c r="X14" s="56">
        <f t="shared" si="2"/>
        <v>0.75069444444444444</v>
      </c>
      <c r="Y14" s="53">
        <f t="shared" si="3"/>
        <v>7.3611111111111072E-2</v>
      </c>
      <c r="Z14" s="53">
        <f t="shared" si="9"/>
        <v>6.3888888888888884E-2</v>
      </c>
      <c r="AA14" s="53">
        <f t="shared" si="4"/>
        <v>6.8749999999999978E-2</v>
      </c>
      <c r="AB14" s="53">
        <f t="shared" si="10"/>
        <v>9.4791666666666649E-2</v>
      </c>
      <c r="AC14" s="53">
        <f>BD_PROD!$AB14+BD_PROD!$O14</f>
        <v>0.84618055555555549</v>
      </c>
    </row>
    <row r="15" spans="1:39" x14ac:dyDescent="0.25">
      <c r="B15" s="51">
        <v>46065</v>
      </c>
      <c r="C15" s="52">
        <v>54542</v>
      </c>
      <c r="D15" s="53">
        <v>0.875</v>
      </c>
      <c r="E15" s="53">
        <v>0.94097222222222221</v>
      </c>
      <c r="F15" s="53">
        <v>0.94097222222222221</v>
      </c>
      <c r="G15" s="53">
        <v>0.7</v>
      </c>
      <c r="H15" s="53">
        <v>0.70625000000000004</v>
      </c>
      <c r="I15" s="53">
        <v>0.94236111111111109</v>
      </c>
      <c r="J15" s="53">
        <v>0.45277777777777778</v>
      </c>
      <c r="K15" s="53">
        <v>0.94166666666666665</v>
      </c>
      <c r="L15" s="53">
        <v>0.69305555555555554</v>
      </c>
      <c r="M15" s="54">
        <v>46250</v>
      </c>
      <c r="N15" s="55">
        <f t="shared" si="0"/>
        <v>3054.4854155200878</v>
      </c>
      <c r="O15" s="53">
        <f t="shared" si="5"/>
        <v>0.63090277777777781</v>
      </c>
      <c r="P15" s="56">
        <f>MOD(BD_PROD!$G15-BD_PROD!$E15,1)</f>
        <v>0.75902777777777775</v>
      </c>
      <c r="Q15" s="56">
        <f>MOD(BD_PROD!$H15-BD_PROD!$F15,1)</f>
        <v>0.76527777777777783</v>
      </c>
      <c r="R15" s="53">
        <f t="shared" si="6"/>
        <v>0.76215277777777779</v>
      </c>
      <c r="S15" s="53">
        <f>SUMIFS(BD_PARADAS[Tempo],BD_PARADAS[[Data ]],BD_PROD!$B15,BD_PARADAS[Setor],"Forno 1") + SUMIFS(BD_PARADAS[Tempo],BD_PARADAS[[Data ]],BD_PROD!$B15,BD_PARADAS[Setor],"Ensaque 1")</f>
        <v>0.23958333333333334</v>
      </c>
      <c r="T15" s="53">
        <f>SUMIFS(BD_PARADAS[Tempo],BD_PARADAS[[Data ]],BD_PROD!$B15,BD_PARADAS[Setor],"Forno 2") + SUMIFS(BD_PARADAS[Tempo],BD_PARADAS[[Data ]],BD_PROD!$B15,BD_PARADAS[Setor],"Ensaque 2")</f>
        <v>0</v>
      </c>
      <c r="U15" s="53">
        <f t="shared" si="7"/>
        <v>0.23958333333333334</v>
      </c>
      <c r="V15" s="53">
        <f>U15/2</f>
        <v>0.11979166666666667</v>
      </c>
      <c r="W15" s="56">
        <f t="shared" si="1"/>
        <v>0.51041666666666674</v>
      </c>
      <c r="X15" s="56">
        <f t="shared" si="2"/>
        <v>0.75138888888888888</v>
      </c>
      <c r="Y15" s="53">
        <f t="shared" si="3"/>
        <v>6.7361111111111094E-2</v>
      </c>
      <c r="Z15" s="53">
        <f t="shared" si="9"/>
        <v>6.6666666666666652E-2</v>
      </c>
      <c r="AA15" s="53">
        <f>(Z15+Y15)/2</f>
        <v>6.7013888888888873E-2</v>
      </c>
      <c r="AB15" s="53">
        <f>AA15+V15</f>
        <v>0.18680555555555556</v>
      </c>
      <c r="AC15" s="53">
        <f>BD_PROD!$AB15+BD_PROD!$O15</f>
        <v>0.81770833333333337</v>
      </c>
    </row>
    <row r="16" spans="1:39" x14ac:dyDescent="0.25">
      <c r="B16" s="51">
        <v>46066</v>
      </c>
      <c r="C16" s="52">
        <v>30195</v>
      </c>
      <c r="D16" s="53">
        <v>0.875</v>
      </c>
      <c r="E16" s="53">
        <v>0.94097222222222221</v>
      </c>
      <c r="F16" s="53">
        <v>0.94097222222222221</v>
      </c>
      <c r="G16" s="53">
        <v>0.35138888888888886</v>
      </c>
      <c r="H16" s="53">
        <v>0.35486111111111113</v>
      </c>
      <c r="I16" s="53">
        <v>0.94305555555555554</v>
      </c>
      <c r="J16" s="53">
        <v>0.3611111111111111</v>
      </c>
      <c r="K16" s="53">
        <v>0.94236111111111109</v>
      </c>
      <c r="L16" s="53">
        <v>0.35208333333333336</v>
      </c>
      <c r="M16" s="54">
        <v>30150</v>
      </c>
      <c r="N16" s="55">
        <f t="shared" si="0"/>
        <v>3035.2348993288583</v>
      </c>
      <c r="O16" s="53">
        <f t="shared" si="5"/>
        <v>0.41388888888888897</v>
      </c>
      <c r="P16" s="56">
        <f>MOD(BD_PROD!$G16-BD_PROD!$E16,1)</f>
        <v>0.41041666666666665</v>
      </c>
      <c r="Q16" s="56">
        <f>MOD(BD_PROD!$H16-BD_PROD!$F16,1)</f>
        <v>0.41388888888888897</v>
      </c>
      <c r="R16" s="53">
        <f t="shared" si="6"/>
        <v>0.41215277777777781</v>
      </c>
      <c r="S16" s="53">
        <f>SUMIFS(BD_PARADAS[Tempo],BD_PARADAS[[Data ]],BD_PROD!$B16,BD_PARADAS[Setor],"Forno 1") + SUMIFS(BD_PARADAS[Tempo],BD_PARADAS[[Data ]],BD_PROD!$B16,BD_PARADAS[Setor],"Ensaque 1")</f>
        <v>0</v>
      </c>
      <c r="T16" s="53">
        <f>SUMIFS(BD_PARADAS[Tempo],BD_PARADAS[[Data ]],BD_PROD!$B16,BD_PARADAS[Setor],"Forno 2") + SUMIFS(BD_PARADAS[Tempo],BD_PARADAS[[Data ]],BD_PROD!$B16,BD_PARADAS[Setor],"Ensaque 2")</f>
        <v>0</v>
      </c>
      <c r="U16" s="53">
        <f t="shared" si="7"/>
        <v>0</v>
      </c>
      <c r="V16" s="53">
        <f t="shared" si="8"/>
        <v>0</v>
      </c>
      <c r="W16" s="56">
        <f t="shared" si="1"/>
        <v>0.41805555555555562</v>
      </c>
      <c r="X16" s="56">
        <f t="shared" si="2"/>
        <v>0.40972222222222232</v>
      </c>
      <c r="Y16" s="53">
        <f t="shared" si="3"/>
        <v>6.8055555555555536E-2</v>
      </c>
      <c r="Z16" s="53">
        <f t="shared" si="9"/>
        <v>6.7361111111111094E-2</v>
      </c>
      <c r="AA16" s="53">
        <f t="shared" si="4"/>
        <v>6.7708333333333315E-2</v>
      </c>
      <c r="AB16" s="53">
        <f t="shared" si="10"/>
        <v>6.7708333333333315E-2</v>
      </c>
      <c r="AC16" s="53">
        <f>BD_PROD!$AB16+BD_PROD!$O16</f>
        <v>0.48159722222222229</v>
      </c>
    </row>
    <row r="17" spans="2:29" x14ac:dyDescent="0.25">
      <c r="B17" s="51">
        <v>46069</v>
      </c>
      <c r="C17" s="52">
        <v>61061</v>
      </c>
      <c r="D17" s="53">
        <v>0.875</v>
      </c>
      <c r="E17" s="53">
        <v>0.95486111111111116</v>
      </c>
      <c r="F17" s="53">
        <v>0.97222222222222221</v>
      </c>
      <c r="G17" s="53">
        <v>0.69930555555555551</v>
      </c>
      <c r="H17" s="53">
        <v>0.72013888888888888</v>
      </c>
      <c r="I17" s="53">
        <v>0.9555555555555556</v>
      </c>
      <c r="J17" s="53">
        <v>0.66666666666666663</v>
      </c>
      <c r="K17" s="53">
        <v>0.97361111111111109</v>
      </c>
      <c r="L17" s="53">
        <v>0.6875</v>
      </c>
      <c r="M17" s="54">
        <v>46200</v>
      </c>
      <c r="N17" s="55">
        <f t="shared" si="0"/>
        <v>2701.7543859649127</v>
      </c>
      <c r="O17" s="53">
        <f t="shared" si="5"/>
        <v>0.71249999999999991</v>
      </c>
      <c r="P17" s="56">
        <f>MOD(BD_PROD!$G17-BD_PROD!$E17,1)</f>
        <v>0.74444444444444435</v>
      </c>
      <c r="Q17" s="56">
        <f>MOD(BD_PROD!$H17-BD_PROD!$F17,1)</f>
        <v>0.74791666666666667</v>
      </c>
      <c r="R17" s="53">
        <f t="shared" si="6"/>
        <v>0.74618055555555551</v>
      </c>
      <c r="S17" s="53">
        <f>SUMIFS(BD_PARADAS[Tempo],BD_PARADAS[[Data ]],BD_PROD!$B17,BD_PARADAS[Setor],"Forno 1") + SUMIFS(BD_PARADAS[Tempo],BD_PARADAS[[Data ]],BD_PROD!$B17,BD_PARADAS[Setor],"Ensaque 1")</f>
        <v>7.013888888888889E-2</v>
      </c>
      <c r="T17" s="53">
        <f>SUMIFS(BD_PARADAS[Tempo],BD_PARADAS[[Data ]],BD_PROD!$B17,BD_PARADAS[Setor],"Forno 2") + SUMIFS(BD_PARADAS[Tempo],BD_PARADAS[[Data ]],BD_PROD!$B17,BD_PARADAS[Setor],"Ensaque 2")</f>
        <v>0.13680555555555554</v>
      </c>
      <c r="U17" s="53">
        <f t="shared" si="7"/>
        <v>0.20694444444444443</v>
      </c>
      <c r="V17" s="53">
        <f t="shared" si="8"/>
        <v>0.10347222222222222</v>
      </c>
      <c r="W17" s="56">
        <f t="shared" si="1"/>
        <v>0.71111111111111103</v>
      </c>
      <c r="X17" s="56">
        <f t="shared" si="2"/>
        <v>0.71388888888888891</v>
      </c>
      <c r="Y17" s="53">
        <f t="shared" si="3"/>
        <v>8.0555555555555602E-2</v>
      </c>
      <c r="Z17" s="53">
        <f t="shared" si="9"/>
        <v>9.8611111111111094E-2</v>
      </c>
      <c r="AA17" s="53">
        <f t="shared" si="4"/>
        <v>8.9583333333333348E-2</v>
      </c>
      <c r="AB17" s="53">
        <f>AA17+V17</f>
        <v>0.19305555555555556</v>
      </c>
      <c r="AC17" s="53">
        <f>BD_PROD!$AB17+BD_PROD!$O17</f>
        <v>0.90555555555555545</v>
      </c>
    </row>
    <row r="18" spans="2:29" x14ac:dyDescent="0.25">
      <c r="B18" s="51">
        <v>46070</v>
      </c>
      <c r="C18" s="52">
        <v>61061</v>
      </c>
      <c r="D18" s="53">
        <v>0.875</v>
      </c>
      <c r="E18" s="53">
        <v>0.94444444444444442</v>
      </c>
      <c r="F18" s="53">
        <v>0.94791666666666663</v>
      </c>
      <c r="G18" s="53">
        <v>0.70694444444444449</v>
      </c>
      <c r="H18" s="53">
        <v>0.7</v>
      </c>
      <c r="I18" s="53">
        <v>0.94513888888888886</v>
      </c>
      <c r="J18" s="53">
        <v>0.7104166666666667</v>
      </c>
      <c r="K18" s="53">
        <v>0.94861111111111107</v>
      </c>
      <c r="L18" s="53">
        <v>0.68402777777777779</v>
      </c>
      <c r="M18" s="54">
        <v>59950</v>
      </c>
      <c r="N18" s="55">
        <f t="shared" si="0"/>
        <v>3329.0143452105508</v>
      </c>
      <c r="O18" s="53">
        <f t="shared" si="5"/>
        <v>0.75034722222222228</v>
      </c>
      <c r="P18" s="56">
        <f>MOD(BD_PROD!$G18-BD_PROD!$E18,1)</f>
        <v>0.76250000000000007</v>
      </c>
      <c r="Q18" s="56">
        <f>MOD(BD_PROD!$H18-BD_PROD!$F18,1)</f>
        <v>0.75208333333333333</v>
      </c>
      <c r="R18" s="53">
        <f t="shared" si="6"/>
        <v>0.7572916666666667</v>
      </c>
      <c r="S18" s="53">
        <f>SUMIFS(BD_PARADAS[Tempo],BD_PARADAS[[Data ]],BD_PROD!$B18,BD_PARADAS[Setor],"Forno 1") + SUMIFS(BD_PARADAS[Tempo],BD_PARADAS[[Data ]],BD_PROD!$B18,BD_PARADAS[Setor],"Ensaque 1")</f>
        <v>2.4305555555555556E-2</v>
      </c>
      <c r="T18" s="53">
        <f>SUMIFS(BD_PARADAS[Tempo],BD_PARADAS[[Data ]],BD_PROD!$B18,BD_PARADAS[Setor],"Forno 2") + SUMIFS(BD_PARADAS[Tempo],BD_PARADAS[[Data ]],BD_PROD!$B18,BD_PARADAS[Setor],"Ensaque 2")</f>
        <v>0</v>
      </c>
      <c r="U18" s="53">
        <f t="shared" si="7"/>
        <v>2.4305555555555556E-2</v>
      </c>
      <c r="V18" s="53">
        <f t="shared" si="8"/>
        <v>1.2152777777777778E-2</v>
      </c>
      <c r="W18" s="56">
        <f t="shared" si="1"/>
        <v>0.76527777777777783</v>
      </c>
      <c r="X18" s="56">
        <f t="shared" si="2"/>
        <v>0.73541666666666672</v>
      </c>
      <c r="Y18" s="53">
        <f t="shared" si="3"/>
        <v>7.0138888888888862E-2</v>
      </c>
      <c r="Z18" s="53">
        <f t="shared" si="9"/>
        <v>7.3611111111111072E-2</v>
      </c>
      <c r="AA18" s="53">
        <f t="shared" si="4"/>
        <v>7.1874999999999967E-2</v>
      </c>
      <c r="AB18" s="53">
        <f>AA18+V18</f>
        <v>8.4027777777777743E-2</v>
      </c>
      <c r="AC18" s="53">
        <f>BD_PROD!$AB18+BD_PROD!$O18</f>
        <v>0.83437499999999998</v>
      </c>
    </row>
    <row r="19" spans="2:29" x14ac:dyDescent="0.25">
      <c r="B19" s="51">
        <v>46071</v>
      </c>
      <c r="C19" s="52">
        <v>61251</v>
      </c>
      <c r="D19" s="53">
        <v>0.875</v>
      </c>
      <c r="E19" s="53">
        <v>0.94305555555555554</v>
      </c>
      <c r="F19" s="53">
        <v>0.94097222222222221</v>
      </c>
      <c r="G19" s="53">
        <v>0.69791666666666663</v>
      </c>
      <c r="H19" s="53">
        <v>0.70972222222222225</v>
      </c>
      <c r="I19" s="53">
        <v>0.94444444444444442</v>
      </c>
      <c r="J19" s="53">
        <v>0.6875</v>
      </c>
      <c r="K19" s="53">
        <v>0.94166666666666665</v>
      </c>
      <c r="L19" s="53">
        <v>0.70833333333333337</v>
      </c>
      <c r="M19" s="54">
        <v>47650</v>
      </c>
      <c r="N19" s="55">
        <f t="shared" si="0"/>
        <v>2630.1747930082797</v>
      </c>
      <c r="O19" s="53">
        <f t="shared" si="5"/>
        <v>0.7548611111111112</v>
      </c>
      <c r="P19" s="56">
        <f>MOD(BD_PROD!$G19-BD_PROD!$E19,1)</f>
        <v>0.75486111111111109</v>
      </c>
      <c r="Q19" s="56">
        <f>MOD(BD_PROD!$H19-BD_PROD!$F19,1)</f>
        <v>0.76875000000000004</v>
      </c>
      <c r="R19" s="53">
        <f t="shared" si="6"/>
        <v>0.76180555555555562</v>
      </c>
      <c r="S19" s="53">
        <f>SUMIFS(BD_PARADAS[Tempo],BD_PARADAS[[Data ]],BD_PROD!$B19,BD_PARADAS[Setor],"Forno 1") + SUMIFS(BD_PARADAS[Tempo],BD_PARADAS[[Data ]],BD_PROD!$B19,BD_PARADAS[Setor],"Ensaque 1")</f>
        <v>0</v>
      </c>
      <c r="T19" s="53">
        <f>SUMIFS(BD_PARADAS[Tempo],BD_PARADAS[[Data ]],BD_PROD!$B19,BD_PARADAS[Setor],"Forno 2") + SUMIFS(BD_PARADAS[Tempo],BD_PARADAS[[Data ]],BD_PROD!$B19,BD_PARADAS[Setor],"Ensaque 2")</f>
        <v>0.21527777777777779</v>
      </c>
      <c r="U19" s="53">
        <f t="shared" si="7"/>
        <v>0.21527777777777779</v>
      </c>
      <c r="V19" s="53">
        <f t="shared" si="8"/>
        <v>0.1076388888888889</v>
      </c>
      <c r="W19" s="56">
        <f t="shared" si="1"/>
        <v>0.74305555555555558</v>
      </c>
      <c r="X19" s="56">
        <f t="shared" si="2"/>
        <v>0.76666666666666672</v>
      </c>
      <c r="Y19" s="53">
        <f t="shared" si="3"/>
        <v>6.944444444444442E-2</v>
      </c>
      <c r="Z19" s="53">
        <f t="shared" si="9"/>
        <v>6.6666666666666652E-2</v>
      </c>
      <c r="AA19" s="53">
        <f t="shared" si="4"/>
        <v>6.8055555555555536E-2</v>
      </c>
      <c r="AB19" s="53">
        <f t="shared" si="10"/>
        <v>0.17569444444444443</v>
      </c>
      <c r="AC19" s="53">
        <f>BD_PROD!$AB19+BD_PROD!$O19</f>
        <v>0.93055555555555558</v>
      </c>
    </row>
    <row r="20" spans="2:29" x14ac:dyDescent="0.25">
      <c r="B20" s="51">
        <v>46072</v>
      </c>
      <c r="C20" s="52">
        <v>61427</v>
      </c>
      <c r="D20" s="53">
        <v>0.875</v>
      </c>
      <c r="E20" s="53">
        <v>0.94930555555555551</v>
      </c>
      <c r="F20" s="53">
        <v>0.94305555555555554</v>
      </c>
      <c r="G20" s="53">
        <v>0.70625000000000004</v>
      </c>
      <c r="H20" s="53">
        <v>0.4826388888888889</v>
      </c>
      <c r="I20" s="53">
        <v>0.95</v>
      </c>
      <c r="J20" s="53">
        <v>0.66874999999999996</v>
      </c>
      <c r="K20" s="53">
        <v>0.95</v>
      </c>
      <c r="L20" s="53">
        <v>0.46805555555555556</v>
      </c>
      <c r="M20" s="54">
        <v>54050</v>
      </c>
      <c r="N20" s="55">
        <f t="shared" si="0"/>
        <v>3641.7742841100498</v>
      </c>
      <c r="O20" s="53">
        <f t="shared" si="5"/>
        <v>0.61840277777777786</v>
      </c>
      <c r="P20" s="56">
        <f>MOD(BD_PROD!$G20-BD_PROD!$E20,1)</f>
        <v>0.75694444444444453</v>
      </c>
      <c r="Q20" s="56">
        <f>MOD(BD_PROD!$H20-BD_PROD!$F20,1)</f>
        <v>0.5395833333333333</v>
      </c>
      <c r="R20" s="53">
        <f t="shared" si="6"/>
        <v>0.64826388888888897</v>
      </c>
      <c r="S20" s="53">
        <f>SUMIFS(BD_PARADAS[Tempo],BD_PARADAS[[Data ]],BD_PROD!$B20,BD_PARADAS[Setor],"Forno 1") + SUMIFS(BD_PARADAS[Tempo],BD_PARADAS[[Data ]],BD_PROD!$B20,BD_PARADAS[Setor],"Ensaque 1")</f>
        <v>3.7499999999999999E-2</v>
      </c>
      <c r="T20" s="53">
        <f>SUMIFS(BD_PARADAS[Tempo],BD_PARADAS[[Data ]],BD_PROD!$B20,BD_PARADAS[Setor],"Forno 2") + SUMIFS(BD_PARADAS[Tempo],BD_PARADAS[[Data ]],BD_PROD!$B20,BD_PARADAS[Setor],"Ensaque 2")</f>
        <v>0.22361111111111112</v>
      </c>
      <c r="U20" s="53">
        <f t="shared" si="7"/>
        <v>0.26111111111111113</v>
      </c>
      <c r="V20" s="53">
        <f t="shared" si="8"/>
        <v>0.13055555555555556</v>
      </c>
      <c r="W20" s="56">
        <f t="shared" si="1"/>
        <v>0.71875</v>
      </c>
      <c r="X20" s="56">
        <f t="shared" si="2"/>
        <v>0.5180555555555556</v>
      </c>
      <c r="Y20" s="53">
        <f t="shared" si="3"/>
        <v>7.4999999999999956E-2</v>
      </c>
      <c r="Z20" s="53">
        <f t="shared" si="9"/>
        <v>7.4999999999999956E-2</v>
      </c>
      <c r="AA20" s="53">
        <f t="shared" si="4"/>
        <v>7.4999999999999956E-2</v>
      </c>
      <c r="AB20" s="53">
        <f t="shared" si="10"/>
        <v>0.20555555555555552</v>
      </c>
      <c r="AC20" s="53">
        <f>BD_PROD!$AB20+BD_PROD!$O20</f>
        <v>0.82395833333333335</v>
      </c>
    </row>
    <row r="21" spans="2:29" x14ac:dyDescent="0.25">
      <c r="B21" s="51">
        <v>46073</v>
      </c>
      <c r="C21" s="52">
        <v>37281</v>
      </c>
      <c r="D21" s="53">
        <v>0.875</v>
      </c>
      <c r="E21" s="53">
        <v>0</v>
      </c>
      <c r="F21" s="53">
        <v>0.94097222222222221</v>
      </c>
      <c r="G21" s="53">
        <v>0</v>
      </c>
      <c r="H21" s="53">
        <v>0.48472222222222222</v>
      </c>
      <c r="I21" s="53">
        <v>0</v>
      </c>
      <c r="J21" s="53">
        <v>0</v>
      </c>
      <c r="K21" s="53">
        <v>0.94166666666666665</v>
      </c>
      <c r="L21" s="53">
        <v>0.46319444444444446</v>
      </c>
      <c r="M21" s="54">
        <v>33750</v>
      </c>
      <c r="N21" s="55">
        <f t="shared" si="0"/>
        <v>5392.8095872170434</v>
      </c>
      <c r="O21" s="53">
        <f t="shared" si="5"/>
        <v>0.26076388888888891</v>
      </c>
      <c r="P21" s="56">
        <f>MOD(BD_PROD!$G21-BD_PROD!$E21,1)</f>
        <v>0</v>
      </c>
      <c r="Q21" s="56">
        <f>MOD(BD_PROD!$H21-BD_PROD!$F21,1)</f>
        <v>0.54374999999999996</v>
      </c>
      <c r="R21" s="53">
        <f t="shared" si="6"/>
        <v>0.27187499999999998</v>
      </c>
      <c r="S21" s="53">
        <f>SUMIFS(BD_PARADAS[Tempo],BD_PARADAS[[Data ]],BD_PROD!$B21,BD_PARADAS[Setor],"Forno 1") + SUMIFS(BD_PARADAS[Tempo],BD_PARADAS[[Data ]],BD_PROD!$B21,BD_PARADAS[Setor],"Ensaque 1")</f>
        <v>0</v>
      </c>
      <c r="T21" s="53">
        <f>SUMIFS(BD_PARADAS[Tempo],BD_PARADAS[[Data ]],BD_PROD!$B21,BD_PARADAS[Setor],"Forno 2") + SUMIFS(BD_PARADAS[Tempo],BD_PARADAS[[Data ]],BD_PROD!$B21,BD_PARADAS[Setor],"Ensaque 2")</f>
        <v>0</v>
      </c>
      <c r="U21" s="53">
        <f t="shared" si="7"/>
        <v>0</v>
      </c>
      <c r="V21" s="53">
        <f t="shared" si="8"/>
        <v>0</v>
      </c>
      <c r="W21" s="56">
        <f t="shared" si="1"/>
        <v>0</v>
      </c>
      <c r="X21" s="56">
        <f t="shared" si="2"/>
        <v>0.52152777777777781</v>
      </c>
      <c r="Y21" s="53">
        <f t="shared" si="3"/>
        <v>0.125</v>
      </c>
      <c r="Z21" s="53">
        <f t="shared" si="9"/>
        <v>6.6666666666666652E-2</v>
      </c>
      <c r="AA21" s="53">
        <f t="shared" si="4"/>
        <v>9.5833333333333326E-2</v>
      </c>
      <c r="AB21" s="53">
        <f t="shared" si="10"/>
        <v>9.5833333333333326E-2</v>
      </c>
      <c r="AC21" s="53">
        <f>BD_PROD!$AB21+BD_PROD!$O21</f>
        <v>0.35659722222222223</v>
      </c>
    </row>
    <row r="22" spans="2:29" x14ac:dyDescent="0.25">
      <c r="B22" s="51">
        <v>46076</v>
      </c>
      <c r="C22" s="52">
        <v>45636</v>
      </c>
      <c r="D22" s="53">
        <v>0.875</v>
      </c>
      <c r="E22" s="53">
        <v>0.95486111111111116</v>
      </c>
      <c r="F22" s="53">
        <v>0.94444444444444442</v>
      </c>
      <c r="G22" s="53">
        <v>0.7</v>
      </c>
      <c r="H22" s="53">
        <v>0.70347222222222228</v>
      </c>
      <c r="I22" s="53">
        <v>0.95625000000000004</v>
      </c>
      <c r="J22" s="53">
        <v>0.68958333333333333</v>
      </c>
      <c r="K22" s="53">
        <v>0.94791666666666663</v>
      </c>
      <c r="L22" s="53">
        <v>0.69791666666666663</v>
      </c>
      <c r="M22" s="54">
        <v>43500</v>
      </c>
      <c r="N22" s="55">
        <f t="shared" si="0"/>
        <v>2443.8202247191011</v>
      </c>
      <c r="O22" s="53">
        <f t="shared" si="5"/>
        <v>0.7416666666666667</v>
      </c>
      <c r="P22" s="56">
        <f>MOD(BD_PROD!$G22-BD_PROD!$E22,1)</f>
        <v>0.7451388888888888</v>
      </c>
      <c r="Q22" s="56">
        <f>MOD(BD_PROD!$H22-BD_PROD!$F22,1)</f>
        <v>0.75902777777777786</v>
      </c>
      <c r="R22" s="53">
        <f t="shared" si="6"/>
        <v>0.75208333333333333</v>
      </c>
      <c r="S22" s="53">
        <f>SUMIFS(BD_PARADAS[Tempo],BD_PARADAS[[Data ]],BD_PROD!$B22,BD_PARADAS[Setor],"Forno 1") + SUMIFS(BD_PARADAS[Tempo],BD_PARADAS[[Data ]],BD_PROD!$B22,BD_PARADAS[Setor],"Ensaque 1")</f>
        <v>2.0833333333333333E-3</v>
      </c>
      <c r="T22" s="53">
        <f>SUMIFS(BD_PARADAS[Tempo],BD_PARADAS[[Data ]],BD_PROD!$B22,BD_PARADAS[Setor],"Forno 2") + SUMIFS(BD_PARADAS[Tempo],BD_PARADAS[[Data ]],BD_PROD!$B22,BD_PARADAS[Setor],"Ensaque 2")</f>
        <v>2.0833333333333333E-3</v>
      </c>
      <c r="U22" s="53">
        <f t="shared" si="7"/>
        <v>4.1666666666666666E-3</v>
      </c>
      <c r="V22" s="53">
        <f t="shared" si="8"/>
        <v>2.0833333333333333E-3</v>
      </c>
      <c r="W22" s="56">
        <f t="shared" si="1"/>
        <v>0.73333333333333328</v>
      </c>
      <c r="X22" s="56">
        <f t="shared" si="2"/>
        <v>0.75</v>
      </c>
      <c r="Y22" s="53">
        <f t="shared" si="3"/>
        <v>8.1250000000000044E-2</v>
      </c>
      <c r="Z22" s="53">
        <f t="shared" si="9"/>
        <v>7.291666666666663E-2</v>
      </c>
      <c r="AA22" s="53">
        <f t="shared" si="4"/>
        <v>7.7083333333333337E-2</v>
      </c>
      <c r="AB22" s="53">
        <f t="shared" si="10"/>
        <v>7.9166666666666677E-2</v>
      </c>
      <c r="AC22" s="53">
        <f>BD_PROD!$AB22+BD_PROD!$O22</f>
        <v>0.82083333333333341</v>
      </c>
    </row>
    <row r="23" spans="2:29" x14ac:dyDescent="0.25">
      <c r="B23" s="51">
        <v>46077</v>
      </c>
      <c r="C23" s="52">
        <v>58045</v>
      </c>
      <c r="D23" s="53">
        <v>0.875</v>
      </c>
      <c r="E23" s="53">
        <v>0.95138888888888884</v>
      </c>
      <c r="F23" s="53">
        <v>0.94791666666666663</v>
      </c>
      <c r="G23" s="53">
        <v>0.70694444444444449</v>
      </c>
      <c r="H23" s="53">
        <v>0.69027777777777777</v>
      </c>
      <c r="I23" s="53">
        <v>0.95277777777777772</v>
      </c>
      <c r="J23" s="53">
        <v>0.67638888888888893</v>
      </c>
      <c r="K23" s="53">
        <v>0.94861111111111107</v>
      </c>
      <c r="L23" s="53">
        <v>0.67638888888888893</v>
      </c>
      <c r="M23" s="54">
        <v>58450</v>
      </c>
      <c r="N23" s="55">
        <f t="shared" si="0"/>
        <v>3355.9808612440188</v>
      </c>
      <c r="O23" s="53">
        <f t="shared" si="5"/>
        <v>0.72569444444444453</v>
      </c>
      <c r="P23" s="56">
        <f>MOD(BD_PROD!$G23-BD_PROD!$E23,1)</f>
        <v>0.75555555555555565</v>
      </c>
      <c r="Q23" s="56">
        <f>MOD(BD_PROD!$H23-BD_PROD!$F23,1)</f>
        <v>0.74236111111111114</v>
      </c>
      <c r="R23" s="53">
        <f t="shared" si="6"/>
        <v>0.74895833333333339</v>
      </c>
      <c r="S23" s="53">
        <f>SUMIFS(BD_PARADAS[Tempo],BD_PARADAS[[Data ]],BD_PROD!$B23,BD_PARADAS[Setor],"Forno 1") + SUMIFS(BD_PARADAS[Tempo],BD_PARADAS[[Data ]],BD_PROD!$B23,BD_PARADAS[Setor],"Ensaque 1")</f>
        <v>2.5000000000000001E-2</v>
      </c>
      <c r="T23" s="53">
        <f>SUMIFS(BD_PARADAS[Tempo],BD_PARADAS[[Data ]],BD_PROD!$B23,BD_PARADAS[Setor],"Forno 2") + SUMIFS(BD_PARADAS[Tempo],BD_PARADAS[[Data ]],BD_PROD!$B23,BD_PARADAS[Setor],"Ensaque 2")</f>
        <v>9.7222222222222224E-3</v>
      </c>
      <c r="U23" s="53">
        <f t="shared" si="7"/>
        <v>3.4722222222222224E-2</v>
      </c>
      <c r="V23" s="53">
        <f t="shared" si="8"/>
        <v>1.7361111111111112E-2</v>
      </c>
      <c r="W23" s="56">
        <f t="shared" si="1"/>
        <v>0.7236111111111112</v>
      </c>
      <c r="X23" s="56">
        <f t="shared" si="2"/>
        <v>0.72777777777777786</v>
      </c>
      <c r="Y23" s="53">
        <f t="shared" si="3"/>
        <v>7.7777777777777724E-2</v>
      </c>
      <c r="Z23" s="53">
        <f t="shared" si="9"/>
        <v>7.3611111111111072E-2</v>
      </c>
      <c r="AA23" s="53">
        <f t="shared" si="4"/>
        <v>7.5694444444444398E-2</v>
      </c>
      <c r="AB23" s="53">
        <f t="shared" si="10"/>
        <v>9.3055555555555503E-2</v>
      </c>
      <c r="AC23" s="53">
        <f>BD_PROD!$AB23+BD_PROD!$O23</f>
        <v>0.81875000000000009</v>
      </c>
    </row>
    <row r="24" spans="2:29" x14ac:dyDescent="0.25">
      <c r="B24" s="51">
        <v>46078</v>
      </c>
      <c r="C24" s="52">
        <v>60558</v>
      </c>
      <c r="D24" s="53">
        <v>0.875</v>
      </c>
      <c r="E24" s="53">
        <v>0.94097222222222221</v>
      </c>
      <c r="F24" s="53">
        <v>0.94305555555555554</v>
      </c>
      <c r="G24" s="53">
        <v>0.69722222222222219</v>
      </c>
      <c r="H24" s="53">
        <v>0.66319444444444442</v>
      </c>
      <c r="I24" s="53">
        <v>0.94236111111111109</v>
      </c>
      <c r="J24" s="53">
        <v>0.70277777777777772</v>
      </c>
      <c r="K24" s="53">
        <v>0.94374999999999998</v>
      </c>
      <c r="L24" s="53">
        <v>0.66111111111111109</v>
      </c>
      <c r="M24" s="54">
        <v>69750</v>
      </c>
      <c r="N24" s="55">
        <f t="shared" si="0"/>
        <v>3933.270676691729</v>
      </c>
      <c r="O24" s="53">
        <f t="shared" si="5"/>
        <v>0.73888888888888893</v>
      </c>
      <c r="P24" s="56">
        <f>MOD(BD_PROD!$G24-BD_PROD!$E24,1)</f>
        <v>0.75624999999999998</v>
      </c>
      <c r="Q24" s="56">
        <f>MOD(BD_PROD!$H24-BD_PROD!$F24,1)</f>
        <v>0.72013888888888888</v>
      </c>
      <c r="R24" s="53">
        <f t="shared" si="6"/>
        <v>0.73819444444444438</v>
      </c>
      <c r="S24" s="53">
        <f>SUMIFS(BD_PARADAS[Tempo],BD_PARADAS[[Data ]],BD_PROD!$B24,BD_PARADAS[Setor],"Forno 1") + SUMIFS(BD_PARADAS[Tempo],BD_PARADAS[[Data ]],BD_PROD!$B24,BD_PARADAS[Setor],"Ensaque 1")</f>
        <v>4.7916666666666663E-2</v>
      </c>
      <c r="T24" s="53">
        <f>SUMIFS(BD_PARADAS[Tempo],BD_PARADAS[[Data ]],BD_PROD!$B24,BD_PARADAS[Setor],"Forno 2") + SUMIFS(BD_PARADAS[Tempo],BD_PARADAS[[Data ]],BD_PROD!$B24,BD_PARADAS[Setor],"Ensaque 2")</f>
        <v>3.4027777777777775E-2</v>
      </c>
      <c r="U24" s="53">
        <f t="shared" si="7"/>
        <v>8.1944444444444431E-2</v>
      </c>
      <c r="V24" s="53">
        <f t="shared" si="8"/>
        <v>4.0972222222222215E-2</v>
      </c>
      <c r="W24" s="56">
        <f t="shared" si="1"/>
        <v>0.76041666666666663</v>
      </c>
      <c r="X24" s="56">
        <f t="shared" si="2"/>
        <v>0.71736111111111112</v>
      </c>
      <c r="Y24" s="53">
        <f t="shared" si="3"/>
        <v>6.7361111111111094E-2</v>
      </c>
      <c r="Z24" s="53">
        <f t="shared" si="9"/>
        <v>6.8749999999999978E-2</v>
      </c>
      <c r="AA24" s="53">
        <f t="shared" si="4"/>
        <v>6.8055555555555536E-2</v>
      </c>
      <c r="AB24" s="53">
        <f t="shared" si="10"/>
        <v>0.10902777777777775</v>
      </c>
      <c r="AC24" s="53">
        <f>BD_PROD!$AB24+BD_PROD!$O24</f>
        <v>0.84791666666666665</v>
      </c>
    </row>
    <row r="25" spans="2:29" x14ac:dyDescent="0.25">
      <c r="B25" s="51">
        <v>46079</v>
      </c>
      <c r="C25" s="52">
        <v>56717</v>
      </c>
      <c r="D25" s="53">
        <v>0.875</v>
      </c>
      <c r="E25" s="53">
        <v>0.94236111111111109</v>
      </c>
      <c r="F25" s="53">
        <v>0.94097222222222221</v>
      </c>
      <c r="G25" s="53">
        <v>0.70416666666666672</v>
      </c>
      <c r="H25" s="53">
        <v>0.69444444444444442</v>
      </c>
      <c r="I25" s="53">
        <v>0.94305555555555554</v>
      </c>
      <c r="J25" s="53">
        <v>0.70486111111111116</v>
      </c>
      <c r="K25" s="53">
        <v>0.94166666666666665</v>
      </c>
      <c r="L25" s="53">
        <v>0.6875</v>
      </c>
      <c r="M25" s="54">
        <v>60800</v>
      </c>
      <c r="N25" s="55">
        <f t="shared" si="0"/>
        <v>3360.6632888070012</v>
      </c>
      <c r="O25" s="53">
        <f t="shared" si="5"/>
        <v>0.75381944444444449</v>
      </c>
      <c r="P25" s="56">
        <f>MOD(BD_PROD!$G25-BD_PROD!$E25,1)</f>
        <v>0.76180555555555562</v>
      </c>
      <c r="Q25" s="56">
        <f>MOD(BD_PROD!$H25-BD_PROD!$F25,1)</f>
        <v>0.75347222222222221</v>
      </c>
      <c r="R25" s="53">
        <f t="shared" si="6"/>
        <v>0.75763888888888897</v>
      </c>
      <c r="S25" s="53">
        <f>SUMIFS(BD_PARADAS[Tempo],BD_PARADAS[[Data ]],BD_PROD!$B25,BD_PARADAS[Setor],"Forno 1") + SUMIFS(BD_PARADAS[Tempo],BD_PARADAS[[Data ]],BD_PROD!$B25,BD_PARADAS[Setor],"Ensaque 1")</f>
        <v>0</v>
      </c>
      <c r="T25" s="53">
        <f>SUMIFS(BD_PARADAS[Tempo],BD_PARADAS[[Data ]],BD_PROD!$B25,BD_PARADAS[Setor],"Forno 2") + SUMIFS(BD_PARADAS[Tempo],BD_PARADAS[[Data ]],BD_PROD!$B25,BD_PARADAS[Setor],"Ensaque 2")</f>
        <v>0.31597222222222221</v>
      </c>
      <c r="U25" s="53">
        <f t="shared" si="7"/>
        <v>0.31597222222222221</v>
      </c>
      <c r="V25" s="53">
        <f t="shared" si="8"/>
        <v>0.1579861111111111</v>
      </c>
      <c r="W25" s="56">
        <f t="shared" si="1"/>
        <v>0.76180555555555562</v>
      </c>
      <c r="X25" s="56">
        <f t="shared" si="2"/>
        <v>0.74583333333333335</v>
      </c>
      <c r="Y25" s="53">
        <f t="shared" si="3"/>
        <v>6.8055555555555536E-2</v>
      </c>
      <c r="Z25" s="53">
        <f t="shared" si="9"/>
        <v>6.6666666666666652E-2</v>
      </c>
      <c r="AA25" s="53">
        <f t="shared" si="4"/>
        <v>6.7361111111111094E-2</v>
      </c>
      <c r="AB25" s="53">
        <f t="shared" si="10"/>
        <v>0.2253472222222222</v>
      </c>
      <c r="AC25" s="53">
        <f>BD_PROD!$AB25+BD_PROD!$O25</f>
        <v>0.97916666666666674</v>
      </c>
    </row>
    <row r="26" spans="2:29" x14ac:dyDescent="0.25">
      <c r="B26" s="51">
        <v>46080</v>
      </c>
      <c r="C26" s="52">
        <v>30295</v>
      </c>
      <c r="D26" s="53">
        <v>0.875</v>
      </c>
      <c r="E26" s="53">
        <v>0.94236111111111109</v>
      </c>
      <c r="F26" s="53">
        <v>0.94097222222222221</v>
      </c>
      <c r="G26" s="53">
        <v>0.45833333333333331</v>
      </c>
      <c r="H26" s="53">
        <v>0.26041666666666669</v>
      </c>
      <c r="I26" s="53">
        <v>0.94374999999999998</v>
      </c>
      <c r="J26" s="53">
        <v>0.46527777777777779</v>
      </c>
      <c r="K26" s="53">
        <v>0.94166666666666665</v>
      </c>
      <c r="L26" s="53">
        <v>0.26041666666666669</v>
      </c>
      <c r="M26" s="54">
        <v>33100</v>
      </c>
      <c r="N26" s="55">
        <f t="shared" si="0"/>
        <v>3282.6446280991727</v>
      </c>
      <c r="O26" s="53">
        <f t="shared" si="5"/>
        <v>0.42013888888888895</v>
      </c>
      <c r="P26" s="56">
        <f>MOD(BD_PROD!$G26-BD_PROD!$E26,1)</f>
        <v>0.51597222222222228</v>
      </c>
      <c r="Q26" s="56">
        <f>MOD(BD_PROD!$H26-BD_PROD!$F26,1)</f>
        <v>0.31944444444444442</v>
      </c>
      <c r="R26" s="53">
        <f t="shared" si="6"/>
        <v>0.41770833333333335</v>
      </c>
      <c r="S26" s="53">
        <f>SUMIFS(BD_PARADAS[Tempo],BD_PARADAS[[Data ]],BD_PROD!$B26,BD_PARADAS[Setor],"Forno 1") + SUMIFS(BD_PARADAS[Tempo],BD_PARADAS[[Data ]],BD_PROD!$B26,BD_PARADAS[Setor],"Ensaque 1")</f>
        <v>0</v>
      </c>
      <c r="T26" s="53">
        <f>SUMIFS(BD_PARADAS[Tempo],BD_PARADAS[[Data ]],BD_PROD!$B26,BD_PARADAS[Setor],"Forno 2") + SUMIFS(BD_PARADAS[Tempo],BD_PARADAS[[Data ]],BD_PROD!$B26,BD_PARADAS[Setor],"Ensaque 2")</f>
        <v>0</v>
      </c>
      <c r="U26" s="53">
        <f t="shared" si="7"/>
        <v>0</v>
      </c>
      <c r="V26" s="53">
        <f t="shared" si="8"/>
        <v>0</v>
      </c>
      <c r="W26" s="56">
        <f t="shared" si="1"/>
        <v>0.52152777777777781</v>
      </c>
      <c r="X26" s="56">
        <f t="shared" si="2"/>
        <v>0.31875000000000009</v>
      </c>
      <c r="Y26" s="53">
        <f t="shared" si="3"/>
        <v>6.8749999999999978E-2</v>
      </c>
      <c r="Z26" s="53">
        <f t="shared" si="9"/>
        <v>6.6666666666666652E-2</v>
      </c>
      <c r="AA26" s="53">
        <f t="shared" si="4"/>
        <v>6.7708333333333315E-2</v>
      </c>
      <c r="AB26" s="53">
        <f t="shared" si="10"/>
        <v>6.7708333333333315E-2</v>
      </c>
      <c r="AC26" s="53">
        <f>BD_PROD!$AB26+BD_PROD!$O26</f>
        <v>0.48784722222222227</v>
      </c>
    </row>
    <row r="27" spans="2:29" x14ac:dyDescent="0.25">
      <c r="C27" s="41">
        <f>SUBTOTAL(109,C7:C26)</f>
        <v>1062495</v>
      </c>
      <c r="M27" s="41">
        <f>SUBTOTAL(109,Tabela2[Qtd Produzida])</f>
        <v>976050</v>
      </c>
      <c r="N27" s="41">
        <f>SUBTOTAL(101,Tabela2[Tonelada/h])</f>
        <v>3233.5236349548354</v>
      </c>
      <c r="O27" s="3">
        <f>SUBTOTAL(101,Tabela2[Prod Média])</f>
        <v>0.64440972222222226</v>
      </c>
      <c r="P27" s="3">
        <f>SUBTOTAL(101,Tabela2[Tempo Prod F1])</f>
        <v>0.64961805555555563</v>
      </c>
      <c r="Q27" s="3">
        <f>SUBTOTAL(101,Tabela2[Tempo Prod F2])</f>
        <v>0.67364583333333328</v>
      </c>
      <c r="R27" s="3">
        <f>SUBTOTAL(101,Tabela2[Tempo Médio Produção Fornos])</f>
        <v>0.66163194444444451</v>
      </c>
      <c r="V27" s="3">
        <f>SUBTOTAL(101,Tabela2[Média Paradas n prog])</f>
        <v>4.956597222222222E-2</v>
      </c>
      <c r="W27" s="3">
        <f>SUBTOTAL(101,Tabela2[Produtividade Ens 1])</f>
        <v>0.63013888888888892</v>
      </c>
      <c r="X27" s="3">
        <f>SUBTOTAL(101,Tabela2[Prod Ens 2])</f>
        <v>0.65868055555555549</v>
      </c>
      <c r="AA27" s="3">
        <f>SUBTOTAL(101,Tabela2[Média de Start])</f>
        <v>7.6059027777777746E-2</v>
      </c>
      <c r="AB27" s="3">
        <f>SUBTOTAL(101,Tabela2[Tempo Parado])</f>
        <v>0.12562499999999999</v>
      </c>
      <c r="AC27" s="3">
        <f>SUBTOTAL(101,Tabela2[Carga Horária])</f>
        <v>0.77003472222222213</v>
      </c>
    </row>
    <row r="28" spans="2:29" x14ac:dyDescent="0.25">
      <c r="M28" s="41">
        <f>SUM(BD_PROD!$M$7:$M$26)</f>
        <v>976050</v>
      </c>
    </row>
    <row r="36" spans="23:26" x14ac:dyDescent="0.25">
      <c r="W36" s="45">
        <v>0.875</v>
      </c>
      <c r="X36" s="45">
        <v>0.71388888888888891</v>
      </c>
      <c r="Y36" s="45">
        <f>MOD(X36-W36,1)</f>
        <v>0.83888888888888891</v>
      </c>
      <c r="Z36" s="3">
        <f>AC17-Y36</f>
        <v>6.6666666666666541E-2</v>
      </c>
    </row>
    <row r="56" spans="3:14" x14ac:dyDescent="0.25">
      <c r="C56" s="39">
        <f>SUM(BD_PROD!$C$7:$C$26)</f>
        <v>1062495</v>
      </c>
      <c r="D56" s="39">
        <f>SUM(BD_PROD!$M$7:$M$26)</f>
        <v>976050</v>
      </c>
      <c r="M56" s="39">
        <f>SUM(BD_PROD!$C$7:$C$26)</f>
        <v>1062495</v>
      </c>
      <c r="N56" t="s">
        <v>46</v>
      </c>
    </row>
  </sheetData>
  <sheetProtection selectLockedCells="1" autoFilter="0" selectUnlockedCells="1"/>
  <phoneticPr fontId="4" type="noConversion"/>
  <pageMargins left="0.511811024" right="0.511811024" top="0.78740157499999996" bottom="0.78740157499999996" header="0.31496062000000002" footer="0.31496062000000002"/>
  <pageSetup paperSize="9" scale="30" orientation="portrait" horizontalDpi="203" verticalDpi="203" r:id="rId1"/>
  <colBreaks count="1" manualBreakCount="1">
    <brk id="19" max="1048575" man="1"/>
  </colBreaks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1C56-045C-4A5D-97A5-860555F9F5CC}">
  <dimension ref="B2:XFD59"/>
  <sheetViews>
    <sheetView showGridLines="0" tabSelected="1" workbookViewId="0">
      <pane ySplit="2" topLeftCell="A3" activePane="bottomLeft" state="frozen"/>
      <selection pane="bottomLeft" activeCell="F9" sqref="F9"/>
    </sheetView>
  </sheetViews>
  <sheetFormatPr defaultRowHeight="15" x14ac:dyDescent="0.25"/>
  <cols>
    <col min="1" max="1" width="4.28515625" customWidth="1"/>
    <col min="2" max="2" width="10.7109375" style="62" bestFit="1" customWidth="1"/>
    <col min="3" max="3" width="10.28515625" style="6" bestFit="1" customWidth="1"/>
    <col min="4" max="4" width="10.7109375" style="6" bestFit="1" customWidth="1"/>
    <col min="5" max="5" width="34.7109375" style="6" bestFit="1" customWidth="1"/>
    <col min="6" max="6" width="35.5703125" style="61" bestFit="1" customWidth="1"/>
    <col min="7" max="7" width="11.7109375" style="2" bestFit="1" customWidth="1"/>
    <col min="8" max="8" width="14.7109375" bestFit="1" customWidth="1"/>
    <col min="9" max="9" width="5.85546875" bestFit="1" customWidth="1"/>
    <col min="10" max="10" width="8.140625" customWidth="1"/>
  </cols>
  <sheetData>
    <row r="2" spans="2:10 16384:16384" x14ac:dyDescent="0.25">
      <c r="B2" s="65" t="s">
        <v>2</v>
      </c>
      <c r="C2" s="66" t="s">
        <v>48</v>
      </c>
      <c r="D2" s="66" t="s">
        <v>61</v>
      </c>
      <c r="E2" s="67" t="s">
        <v>52</v>
      </c>
      <c r="F2" s="68" t="s">
        <v>3</v>
      </c>
      <c r="G2" s="69" t="s">
        <v>4</v>
      </c>
      <c r="H2" s="70" t="s">
        <v>47</v>
      </c>
      <c r="I2" s="64" t="s">
        <v>49</v>
      </c>
      <c r="J2" s="43">
        <f>SUBTOTAL(9,BD_PARADAS[Tempo])</f>
        <v>2.3937500000000016</v>
      </c>
      <c r="XFD2">
        <f>SUM(A2:XFC2)</f>
        <v>2.3937500000000016</v>
      </c>
    </row>
    <row r="3" spans="2:10 16384:16384" ht="30" x14ac:dyDescent="0.25">
      <c r="B3" s="57">
        <v>46072</v>
      </c>
      <c r="C3" s="59" t="s">
        <v>50</v>
      </c>
      <c r="D3" s="59" t="s">
        <v>80</v>
      </c>
      <c r="E3" s="59" t="s">
        <v>100</v>
      </c>
      <c r="F3" s="19" t="s">
        <v>125</v>
      </c>
      <c r="G3" s="74">
        <v>3.7499999999999999E-2</v>
      </c>
      <c r="H3" s="58" t="s">
        <v>77</v>
      </c>
    </row>
    <row r="4" spans="2:10 16384:16384" x14ac:dyDescent="0.25">
      <c r="B4" s="57">
        <v>46059</v>
      </c>
      <c r="C4" s="59" t="s">
        <v>63</v>
      </c>
      <c r="D4" s="59" t="s">
        <v>80</v>
      </c>
      <c r="E4" s="59" t="s">
        <v>69</v>
      </c>
      <c r="F4" s="19" t="s">
        <v>66</v>
      </c>
      <c r="G4" s="74">
        <v>2.6388888888888889E-2</v>
      </c>
      <c r="H4" s="58" t="s">
        <v>78</v>
      </c>
    </row>
    <row r="5" spans="2:10 16384:16384" ht="30" x14ac:dyDescent="0.25">
      <c r="B5" s="71">
        <v>46055</v>
      </c>
      <c r="C5" s="72" t="s">
        <v>75</v>
      </c>
      <c r="D5" s="72" t="s">
        <v>80</v>
      </c>
      <c r="E5" s="72" t="s">
        <v>60</v>
      </c>
      <c r="F5" s="76" t="s">
        <v>74</v>
      </c>
      <c r="G5" s="74">
        <v>1.0416666666666666E-2</v>
      </c>
      <c r="H5" s="75" t="s">
        <v>65</v>
      </c>
    </row>
    <row r="6" spans="2:10 16384:16384" x14ac:dyDescent="0.25">
      <c r="B6" s="71">
        <v>46055</v>
      </c>
      <c r="C6" s="72" t="s">
        <v>55</v>
      </c>
      <c r="D6" s="72" t="s">
        <v>80</v>
      </c>
      <c r="E6" s="72" t="s">
        <v>58</v>
      </c>
      <c r="F6" s="73" t="s">
        <v>72</v>
      </c>
      <c r="G6" s="74">
        <v>2.4305555555555556E-2</v>
      </c>
      <c r="H6" s="75" t="s">
        <v>65</v>
      </c>
    </row>
    <row r="7" spans="2:10 16384:16384" ht="30" x14ac:dyDescent="0.25">
      <c r="B7" s="57">
        <v>46055</v>
      </c>
      <c r="C7" s="59" t="s">
        <v>55</v>
      </c>
      <c r="D7" s="59" t="s">
        <v>80</v>
      </c>
      <c r="E7" s="59" t="s">
        <v>76</v>
      </c>
      <c r="F7" s="19" t="s">
        <v>120</v>
      </c>
      <c r="G7" s="74">
        <v>2.0833333333333332E-2</v>
      </c>
      <c r="H7" s="58" t="s">
        <v>78</v>
      </c>
    </row>
    <row r="8" spans="2:10 16384:16384" ht="30" x14ac:dyDescent="0.25">
      <c r="B8" s="57">
        <v>46056</v>
      </c>
      <c r="C8" s="59" t="s">
        <v>50</v>
      </c>
      <c r="D8" s="59" t="s">
        <v>81</v>
      </c>
      <c r="E8" s="59" t="s">
        <v>57</v>
      </c>
      <c r="F8" s="19" t="s">
        <v>85</v>
      </c>
      <c r="G8" s="79">
        <v>0.39097222222222222</v>
      </c>
      <c r="H8" s="58" t="s">
        <v>77</v>
      </c>
    </row>
    <row r="9" spans="2:10 16384:16384" ht="30" x14ac:dyDescent="0.25">
      <c r="B9" s="57">
        <v>46079</v>
      </c>
      <c r="C9" s="59" t="s">
        <v>55</v>
      </c>
      <c r="D9" s="59" t="s">
        <v>80</v>
      </c>
      <c r="E9" s="59" t="s">
        <v>67</v>
      </c>
      <c r="F9" s="19" t="s">
        <v>129</v>
      </c>
      <c r="G9" s="74">
        <v>1.8749999999999999E-2</v>
      </c>
      <c r="H9" s="58" t="s">
        <v>65</v>
      </c>
    </row>
    <row r="10" spans="2:10 16384:16384" x14ac:dyDescent="0.25">
      <c r="B10" s="57">
        <v>46058</v>
      </c>
      <c r="C10" s="59" t="s">
        <v>118</v>
      </c>
      <c r="D10" s="59" t="s">
        <v>81</v>
      </c>
      <c r="E10" s="59" t="s">
        <v>71</v>
      </c>
      <c r="F10" s="19" t="s">
        <v>110</v>
      </c>
      <c r="G10" s="60">
        <v>1.0416666666666666E-2</v>
      </c>
      <c r="H10" s="58" t="s">
        <v>65</v>
      </c>
    </row>
    <row r="11" spans="2:10 16384:16384" x14ac:dyDescent="0.25">
      <c r="B11" s="57">
        <v>46058</v>
      </c>
      <c r="C11" s="59" t="s">
        <v>56</v>
      </c>
      <c r="D11" s="59" t="s">
        <v>81</v>
      </c>
      <c r="E11" s="59" t="s">
        <v>70</v>
      </c>
      <c r="F11" s="19" t="s">
        <v>102</v>
      </c>
      <c r="G11" s="60">
        <v>4.1666666666666666E-3</v>
      </c>
      <c r="H11" s="58" t="s">
        <v>79</v>
      </c>
    </row>
    <row r="12" spans="2:10 16384:16384" x14ac:dyDescent="0.25">
      <c r="B12" s="57">
        <v>46058</v>
      </c>
      <c r="C12" s="59" t="s">
        <v>55</v>
      </c>
      <c r="D12" s="59" t="s">
        <v>81</v>
      </c>
      <c r="E12" s="59" t="s">
        <v>102</v>
      </c>
      <c r="F12" s="19" t="s">
        <v>53</v>
      </c>
      <c r="G12" s="60">
        <v>3.472222222222222E-3</v>
      </c>
      <c r="H12" s="58" t="s">
        <v>79</v>
      </c>
    </row>
    <row r="13" spans="2:10 16384:16384" x14ac:dyDescent="0.25">
      <c r="B13" s="57">
        <v>46058</v>
      </c>
      <c r="C13" s="59" t="s">
        <v>50</v>
      </c>
      <c r="D13" s="59" t="s">
        <v>81</v>
      </c>
      <c r="E13" s="59" t="s">
        <v>102</v>
      </c>
      <c r="F13" s="19" t="s">
        <v>53</v>
      </c>
      <c r="G13" s="60">
        <v>3.472222222222222E-3</v>
      </c>
      <c r="H13" s="58" t="s">
        <v>79</v>
      </c>
    </row>
    <row r="14" spans="2:10 16384:16384" x14ac:dyDescent="0.25">
      <c r="B14" s="57">
        <v>46069</v>
      </c>
      <c r="C14" s="59" t="s">
        <v>63</v>
      </c>
      <c r="D14" s="59" t="s">
        <v>80</v>
      </c>
      <c r="E14" s="59" t="s">
        <v>94</v>
      </c>
      <c r="F14" s="19" t="s">
        <v>122</v>
      </c>
      <c r="G14" s="74">
        <v>2.1527777777777778E-2</v>
      </c>
      <c r="H14" s="58" t="s">
        <v>78</v>
      </c>
    </row>
    <row r="15" spans="2:10 16384:16384" x14ac:dyDescent="0.25">
      <c r="B15" s="57">
        <v>46059</v>
      </c>
      <c r="C15" s="59" t="s">
        <v>63</v>
      </c>
      <c r="D15" s="59" t="s">
        <v>80</v>
      </c>
      <c r="E15" s="59" t="s">
        <v>67</v>
      </c>
      <c r="F15" s="19" t="s">
        <v>68</v>
      </c>
      <c r="G15" s="74">
        <v>2.0833333333333332E-2</v>
      </c>
      <c r="H15" s="58" t="s">
        <v>78</v>
      </c>
    </row>
    <row r="16" spans="2:10 16384:16384" x14ac:dyDescent="0.25">
      <c r="B16" s="57">
        <v>46059</v>
      </c>
      <c r="C16" s="59" t="s">
        <v>55</v>
      </c>
      <c r="D16" s="59" t="s">
        <v>80</v>
      </c>
      <c r="E16" s="59" t="s">
        <v>102</v>
      </c>
      <c r="F16" s="19" t="s">
        <v>53</v>
      </c>
      <c r="G16" s="60">
        <v>3.472222222222222E-3</v>
      </c>
      <c r="H16" s="58" t="s">
        <v>79</v>
      </c>
    </row>
    <row r="17" spans="2:12" x14ac:dyDescent="0.25">
      <c r="B17" s="57">
        <v>46059</v>
      </c>
      <c r="C17" s="59" t="s">
        <v>50</v>
      </c>
      <c r="D17" s="59" t="s">
        <v>80</v>
      </c>
      <c r="E17" s="59" t="s">
        <v>102</v>
      </c>
      <c r="F17" s="19" t="s">
        <v>53</v>
      </c>
      <c r="G17" s="60">
        <v>3.472222222222222E-3</v>
      </c>
      <c r="H17" s="58" t="s">
        <v>79</v>
      </c>
    </row>
    <row r="18" spans="2:12" x14ac:dyDescent="0.25">
      <c r="B18" s="57">
        <v>46062</v>
      </c>
      <c r="C18" s="59" t="s">
        <v>63</v>
      </c>
      <c r="D18" s="59" t="s">
        <v>80</v>
      </c>
      <c r="E18" s="59" t="s">
        <v>51</v>
      </c>
      <c r="F18" s="77" t="s">
        <v>64</v>
      </c>
      <c r="G18" s="74">
        <v>2.0833333333333332E-2</v>
      </c>
      <c r="H18" s="78" t="s">
        <v>65</v>
      </c>
    </row>
    <row r="19" spans="2:12" ht="30" x14ac:dyDescent="0.25">
      <c r="B19" s="57">
        <v>46062</v>
      </c>
      <c r="C19" s="58" t="s">
        <v>62</v>
      </c>
      <c r="D19" s="59" t="s">
        <v>81</v>
      </c>
      <c r="E19" s="58" t="s">
        <v>54</v>
      </c>
      <c r="F19" s="19" t="s">
        <v>87</v>
      </c>
      <c r="G19" s="60">
        <v>8.3333333333333329E-2</v>
      </c>
      <c r="H19" s="58" t="s">
        <v>53</v>
      </c>
    </row>
    <row r="20" spans="2:12" ht="30" x14ac:dyDescent="0.25">
      <c r="B20" s="71">
        <v>46064</v>
      </c>
      <c r="C20" s="72" t="s">
        <v>50</v>
      </c>
      <c r="D20" s="72" t="s">
        <v>81</v>
      </c>
      <c r="E20" s="72" t="s">
        <v>82</v>
      </c>
      <c r="F20" s="73" t="s">
        <v>84</v>
      </c>
      <c r="G20" s="74">
        <v>5.2083333333333336E-2</v>
      </c>
      <c r="H20" s="75" t="s">
        <v>65</v>
      </c>
    </row>
    <row r="21" spans="2:12" ht="30" x14ac:dyDescent="0.25">
      <c r="B21" s="57">
        <v>46064</v>
      </c>
      <c r="C21" s="59" t="s">
        <v>50</v>
      </c>
      <c r="D21" s="59" t="s">
        <v>81</v>
      </c>
      <c r="E21" s="59" t="s">
        <v>57</v>
      </c>
      <c r="F21" s="77" t="s">
        <v>86</v>
      </c>
      <c r="G21" s="60"/>
      <c r="H21" s="58" t="s">
        <v>77</v>
      </c>
      <c r="K21" s="63"/>
    </row>
    <row r="22" spans="2:12" ht="30" x14ac:dyDescent="0.25">
      <c r="B22" s="57">
        <v>46065</v>
      </c>
      <c r="C22" s="59" t="s">
        <v>50</v>
      </c>
      <c r="D22" s="59" t="s">
        <v>81</v>
      </c>
      <c r="E22" s="59" t="s">
        <v>57</v>
      </c>
      <c r="F22" s="77" t="s">
        <v>83</v>
      </c>
      <c r="G22" s="79">
        <v>0.23958333333333334</v>
      </c>
      <c r="H22" s="58" t="s">
        <v>77</v>
      </c>
      <c r="K22" s="63"/>
      <c r="L22" s="63"/>
    </row>
    <row r="23" spans="2:12" x14ac:dyDescent="0.25">
      <c r="B23" s="57">
        <v>46069</v>
      </c>
      <c r="C23" s="59" t="s">
        <v>55</v>
      </c>
      <c r="D23" s="59" t="s">
        <v>81</v>
      </c>
      <c r="E23" s="59" t="s">
        <v>67</v>
      </c>
      <c r="F23" s="19" t="s">
        <v>113</v>
      </c>
      <c r="G23" s="79">
        <v>0.13541666666666666</v>
      </c>
      <c r="H23" s="58" t="s">
        <v>78</v>
      </c>
    </row>
    <row r="24" spans="2:12" ht="30" x14ac:dyDescent="0.25">
      <c r="B24" s="71">
        <v>46069</v>
      </c>
      <c r="C24" s="72" t="s">
        <v>50</v>
      </c>
      <c r="D24" s="72" t="s">
        <v>81</v>
      </c>
      <c r="E24" s="72" t="s">
        <v>82</v>
      </c>
      <c r="F24" s="73" t="s">
        <v>84</v>
      </c>
      <c r="G24" s="74">
        <v>6.8750000000000006E-2</v>
      </c>
      <c r="H24" s="75" t="s">
        <v>65</v>
      </c>
    </row>
    <row r="25" spans="2:12" ht="30" x14ac:dyDescent="0.25">
      <c r="B25" s="57">
        <v>46072</v>
      </c>
      <c r="C25" s="59" t="s">
        <v>63</v>
      </c>
      <c r="D25" s="59" t="s">
        <v>80</v>
      </c>
      <c r="E25" s="59" t="s">
        <v>99</v>
      </c>
      <c r="F25" s="19" t="s">
        <v>124</v>
      </c>
      <c r="G25" s="74">
        <v>1.9444444444444445E-2</v>
      </c>
      <c r="H25" s="58" t="s">
        <v>65</v>
      </c>
      <c r="K25">
        <v>3028</v>
      </c>
    </row>
    <row r="26" spans="2:12" ht="30" x14ac:dyDescent="0.25">
      <c r="B26" s="57">
        <v>46072</v>
      </c>
      <c r="C26" s="59" t="s">
        <v>63</v>
      </c>
      <c r="D26" s="59" t="s">
        <v>80</v>
      </c>
      <c r="E26" s="59" t="s">
        <v>98</v>
      </c>
      <c r="F26" s="19" t="s">
        <v>123</v>
      </c>
      <c r="G26" s="74">
        <v>8.3333333333333332E-3</v>
      </c>
      <c r="H26" s="58" t="s">
        <v>65</v>
      </c>
      <c r="K26">
        <v>2422</v>
      </c>
    </row>
    <row r="27" spans="2:12" ht="45" x14ac:dyDescent="0.25">
      <c r="B27" s="57">
        <v>46069</v>
      </c>
      <c r="C27" s="59" t="s">
        <v>63</v>
      </c>
      <c r="D27" s="59" t="s">
        <v>81</v>
      </c>
      <c r="E27" s="59" t="s">
        <v>111</v>
      </c>
      <c r="F27" s="19" t="s">
        <v>112</v>
      </c>
      <c r="G27" s="60">
        <v>5.9722222222222225E-2</v>
      </c>
      <c r="H27" s="58" t="s">
        <v>78</v>
      </c>
      <c r="K27">
        <v>40.369999999999997</v>
      </c>
    </row>
    <row r="28" spans="2:12" x14ac:dyDescent="0.25">
      <c r="B28" s="57">
        <v>46069</v>
      </c>
      <c r="C28" s="59" t="s">
        <v>63</v>
      </c>
      <c r="D28" s="59" t="s">
        <v>81</v>
      </c>
      <c r="E28" s="59" t="s">
        <v>89</v>
      </c>
      <c r="F28" s="19" t="s">
        <v>90</v>
      </c>
      <c r="G28" s="60">
        <v>3.6111111111111108E-2</v>
      </c>
      <c r="H28" s="58" t="s">
        <v>78</v>
      </c>
    </row>
    <row r="29" spans="2:12" x14ac:dyDescent="0.25">
      <c r="B29" s="57">
        <v>46069</v>
      </c>
      <c r="C29" s="59" t="s">
        <v>50</v>
      </c>
      <c r="D29" s="59" t="s">
        <v>81</v>
      </c>
      <c r="E29" s="59" t="s">
        <v>102</v>
      </c>
      <c r="F29" s="19" t="s">
        <v>53</v>
      </c>
      <c r="G29" s="60">
        <v>1.3888888888888889E-3</v>
      </c>
      <c r="H29" s="58" t="s">
        <v>79</v>
      </c>
    </row>
    <row r="30" spans="2:12" x14ac:dyDescent="0.25">
      <c r="B30" s="57">
        <v>46069</v>
      </c>
      <c r="C30" s="59" t="s">
        <v>55</v>
      </c>
      <c r="D30" s="59" t="s">
        <v>81</v>
      </c>
      <c r="E30" s="59" t="s">
        <v>102</v>
      </c>
      <c r="F30" s="19" t="s">
        <v>53</v>
      </c>
      <c r="G30" s="60">
        <v>1.3888888888888889E-3</v>
      </c>
      <c r="H30" s="58" t="s">
        <v>79</v>
      </c>
    </row>
    <row r="31" spans="2:12" x14ac:dyDescent="0.25">
      <c r="B31" s="57">
        <v>46070</v>
      </c>
      <c r="C31" s="59" t="s">
        <v>62</v>
      </c>
      <c r="D31" s="59" t="s">
        <v>81</v>
      </c>
      <c r="E31" s="59" t="s">
        <v>93</v>
      </c>
      <c r="F31" s="19" t="s">
        <v>114</v>
      </c>
      <c r="G31" s="60">
        <v>2.4305555555555556E-2</v>
      </c>
      <c r="H31" s="58" t="s">
        <v>65</v>
      </c>
    </row>
    <row r="32" spans="2:12" x14ac:dyDescent="0.25">
      <c r="B32" s="57">
        <v>46070</v>
      </c>
      <c r="C32" s="59" t="s">
        <v>63</v>
      </c>
      <c r="D32" s="59" t="s">
        <v>81</v>
      </c>
      <c r="E32" s="59" t="s">
        <v>91</v>
      </c>
      <c r="F32" s="19" t="s">
        <v>92</v>
      </c>
      <c r="G32" s="60">
        <v>2.4305555555555556E-2</v>
      </c>
      <c r="H32" s="58" t="s">
        <v>65</v>
      </c>
      <c r="J32" s="63">
        <v>0.36180555555555555</v>
      </c>
      <c r="K32" s="63">
        <v>0.36458333333333331</v>
      </c>
    </row>
    <row r="33" spans="2:11" ht="30" x14ac:dyDescent="0.25">
      <c r="B33" s="57">
        <v>46070</v>
      </c>
      <c r="C33" s="59" t="s">
        <v>53</v>
      </c>
      <c r="D33" s="59" t="s">
        <v>81</v>
      </c>
      <c r="E33" s="59" t="s">
        <v>57</v>
      </c>
      <c r="F33" s="77" t="s">
        <v>86</v>
      </c>
      <c r="G33" s="60">
        <v>2.7777777777777776E-2</v>
      </c>
      <c r="H33" s="58" t="s">
        <v>77</v>
      </c>
      <c r="J33" s="63">
        <v>0.46666666666666667</v>
      </c>
      <c r="K33" s="63">
        <v>0.57986111111111116</v>
      </c>
    </row>
    <row r="34" spans="2:11" x14ac:dyDescent="0.25">
      <c r="B34" s="57">
        <v>46071</v>
      </c>
      <c r="C34" s="59" t="s">
        <v>55</v>
      </c>
      <c r="D34" s="59" t="s">
        <v>81</v>
      </c>
      <c r="E34" s="59" t="s">
        <v>57</v>
      </c>
      <c r="F34" s="19"/>
      <c r="G34" s="79">
        <v>0.11041666666666666</v>
      </c>
      <c r="H34" s="58" t="s">
        <v>77</v>
      </c>
      <c r="J34" s="63">
        <f>J33-J32</f>
        <v>0.10486111111111113</v>
      </c>
      <c r="K34" s="63">
        <f>K33-K32</f>
        <v>0.21527777777777785</v>
      </c>
    </row>
    <row r="35" spans="2:11" x14ac:dyDescent="0.25">
      <c r="B35" s="57">
        <v>46071</v>
      </c>
      <c r="C35" s="59" t="s">
        <v>55</v>
      </c>
      <c r="D35" s="59" t="s">
        <v>81</v>
      </c>
      <c r="E35" s="59" t="s">
        <v>67</v>
      </c>
      <c r="F35" s="19" t="s">
        <v>115</v>
      </c>
      <c r="G35" s="79">
        <v>0.10486111111111111</v>
      </c>
      <c r="H35" s="58" t="s">
        <v>65</v>
      </c>
      <c r="J35" s="63"/>
      <c r="K35" s="63">
        <f>K34-J34</f>
        <v>0.11041666666666672</v>
      </c>
    </row>
    <row r="36" spans="2:11" x14ac:dyDescent="0.25">
      <c r="B36" s="57">
        <v>46071</v>
      </c>
      <c r="C36" s="59" t="s">
        <v>63</v>
      </c>
      <c r="D36" s="59" t="s">
        <v>81</v>
      </c>
      <c r="E36" s="59" t="s">
        <v>89</v>
      </c>
      <c r="F36" s="19" t="s">
        <v>90</v>
      </c>
      <c r="G36" s="60">
        <v>1.3194444444444444E-2</v>
      </c>
      <c r="H36" s="58" t="s">
        <v>78</v>
      </c>
    </row>
    <row r="37" spans="2:11" x14ac:dyDescent="0.25">
      <c r="B37" s="71">
        <v>46071</v>
      </c>
      <c r="C37" s="72" t="s">
        <v>63</v>
      </c>
      <c r="D37" s="72" t="s">
        <v>81</v>
      </c>
      <c r="E37" s="72" t="s">
        <v>95</v>
      </c>
      <c r="F37" s="73" t="s">
        <v>116</v>
      </c>
      <c r="G37" s="74">
        <v>2.9166666666666667E-2</v>
      </c>
      <c r="H37" s="75" t="s">
        <v>77</v>
      </c>
    </row>
    <row r="38" spans="2:11" x14ac:dyDescent="0.25">
      <c r="B38" s="57">
        <v>46071</v>
      </c>
      <c r="C38" s="59" t="s">
        <v>63</v>
      </c>
      <c r="D38" s="59" t="s">
        <v>81</v>
      </c>
      <c r="E38" s="59" t="s">
        <v>96</v>
      </c>
      <c r="F38" s="19" t="s">
        <v>97</v>
      </c>
      <c r="G38" s="60">
        <v>2.1527777777777778E-2</v>
      </c>
      <c r="H38" s="58" t="s">
        <v>65</v>
      </c>
      <c r="K38" s="63"/>
    </row>
    <row r="39" spans="2:11" x14ac:dyDescent="0.25">
      <c r="B39" s="57">
        <v>46072</v>
      </c>
      <c r="C39" s="59" t="s">
        <v>55</v>
      </c>
      <c r="D39" s="59" t="s">
        <v>81</v>
      </c>
      <c r="E39" s="59" t="s">
        <v>57</v>
      </c>
      <c r="F39" s="19"/>
      <c r="G39" s="79">
        <v>0.22361111111111112</v>
      </c>
      <c r="H39" s="58" t="s">
        <v>77</v>
      </c>
    </row>
    <row r="40" spans="2:11" ht="45" x14ac:dyDescent="0.25">
      <c r="B40" s="57">
        <v>46077</v>
      </c>
      <c r="C40" s="59" t="s">
        <v>63</v>
      </c>
      <c r="D40" s="59" t="s">
        <v>80</v>
      </c>
      <c r="E40" s="59" t="s">
        <v>103</v>
      </c>
      <c r="F40" s="19" t="s">
        <v>126</v>
      </c>
      <c r="G40" s="60">
        <v>7.6388888888888886E-3</v>
      </c>
      <c r="H40" s="58" t="s">
        <v>65</v>
      </c>
    </row>
    <row r="41" spans="2:11" x14ac:dyDescent="0.25">
      <c r="B41" s="57">
        <v>46055</v>
      </c>
      <c r="C41" s="59" t="s">
        <v>63</v>
      </c>
      <c r="D41" s="59" t="s">
        <v>80</v>
      </c>
      <c r="E41" s="59" t="s">
        <v>59</v>
      </c>
      <c r="F41" s="19" t="s">
        <v>73</v>
      </c>
      <c r="G41" s="60">
        <v>6.9444444444444441E-3</v>
      </c>
      <c r="H41" s="58" t="s">
        <v>65</v>
      </c>
    </row>
    <row r="42" spans="2:11" x14ac:dyDescent="0.25">
      <c r="B42" s="57">
        <v>46079</v>
      </c>
      <c r="C42" s="59" t="s">
        <v>55</v>
      </c>
      <c r="D42" s="59" t="s">
        <v>80</v>
      </c>
      <c r="E42" s="59" t="s">
        <v>103</v>
      </c>
      <c r="F42" s="19" t="s">
        <v>110</v>
      </c>
      <c r="G42" s="60">
        <v>3.472222222222222E-3</v>
      </c>
      <c r="H42" s="58" t="s">
        <v>65</v>
      </c>
    </row>
    <row r="43" spans="2:11" ht="30" x14ac:dyDescent="0.25">
      <c r="B43" s="57">
        <v>46072</v>
      </c>
      <c r="C43" s="59" t="s">
        <v>63</v>
      </c>
      <c r="D43" s="59" t="s">
        <v>81</v>
      </c>
      <c r="E43" s="59" t="s">
        <v>101</v>
      </c>
      <c r="F43" s="19" t="s">
        <v>117</v>
      </c>
      <c r="G43" s="60">
        <v>1.8749999999999999E-2</v>
      </c>
      <c r="H43" s="58" t="s">
        <v>65</v>
      </c>
    </row>
    <row r="44" spans="2:11" x14ac:dyDescent="0.25">
      <c r="B44" s="57">
        <v>46076</v>
      </c>
      <c r="C44" s="59" t="s">
        <v>50</v>
      </c>
      <c r="D44" s="59" t="s">
        <v>80</v>
      </c>
      <c r="E44" s="59" t="s">
        <v>102</v>
      </c>
      <c r="F44" s="19" t="s">
        <v>53</v>
      </c>
      <c r="G44" s="60">
        <v>2.0833333333333333E-3</v>
      </c>
      <c r="H44" s="58" t="s">
        <v>79</v>
      </c>
    </row>
    <row r="45" spans="2:11" x14ac:dyDescent="0.25">
      <c r="B45" s="57">
        <v>46076</v>
      </c>
      <c r="C45" s="59" t="s">
        <v>55</v>
      </c>
      <c r="D45" s="59" t="s">
        <v>80</v>
      </c>
      <c r="E45" s="59" t="s">
        <v>102</v>
      </c>
      <c r="F45" s="19" t="s">
        <v>53</v>
      </c>
      <c r="G45" s="60">
        <v>2.0833333333333333E-3</v>
      </c>
      <c r="H45" s="58" t="s">
        <v>79</v>
      </c>
    </row>
    <row r="46" spans="2:11" x14ac:dyDescent="0.25">
      <c r="B46" s="57">
        <v>46077</v>
      </c>
      <c r="C46" s="59" t="s">
        <v>50</v>
      </c>
      <c r="D46" s="59" t="s">
        <v>81</v>
      </c>
      <c r="E46" s="59" t="s">
        <v>102</v>
      </c>
      <c r="F46" s="19" t="s">
        <v>53</v>
      </c>
      <c r="G46" s="60">
        <v>6.2500000000000003E-3</v>
      </c>
      <c r="H46" s="58" t="s">
        <v>79</v>
      </c>
    </row>
    <row r="47" spans="2:11" x14ac:dyDescent="0.25">
      <c r="B47" s="57">
        <v>46077</v>
      </c>
      <c r="C47" s="59" t="s">
        <v>55</v>
      </c>
      <c r="D47" s="59" t="s">
        <v>81</v>
      </c>
      <c r="E47" s="59" t="s">
        <v>102</v>
      </c>
      <c r="F47" s="19" t="s">
        <v>53</v>
      </c>
      <c r="G47" s="60">
        <v>6.2500000000000003E-3</v>
      </c>
      <c r="H47" s="58" t="s">
        <v>79</v>
      </c>
    </row>
    <row r="48" spans="2:11" ht="45" x14ac:dyDescent="0.25">
      <c r="B48" s="57">
        <v>46069</v>
      </c>
      <c r="C48" s="59" t="s">
        <v>63</v>
      </c>
      <c r="D48" s="59" t="s">
        <v>80</v>
      </c>
      <c r="E48" s="59" t="s">
        <v>88</v>
      </c>
      <c r="F48" s="77" t="s">
        <v>121</v>
      </c>
      <c r="G48" s="60">
        <v>6.2500000000000003E-3</v>
      </c>
      <c r="H48" s="58" t="s">
        <v>79</v>
      </c>
    </row>
    <row r="49" spans="2:10" x14ac:dyDescent="0.25">
      <c r="B49" s="57">
        <v>46077</v>
      </c>
      <c r="C49" s="59" t="s">
        <v>63</v>
      </c>
      <c r="D49" s="59" t="s">
        <v>80</v>
      </c>
      <c r="E49" s="59" t="s">
        <v>104</v>
      </c>
      <c r="F49" s="19" t="s">
        <v>127</v>
      </c>
      <c r="G49" s="60">
        <v>3.472222222222222E-3</v>
      </c>
      <c r="H49" s="58" t="s">
        <v>78</v>
      </c>
    </row>
    <row r="50" spans="2:10" x14ac:dyDescent="0.25">
      <c r="B50" s="57">
        <v>46077</v>
      </c>
      <c r="C50" s="59" t="s">
        <v>62</v>
      </c>
      <c r="D50" s="59" t="s">
        <v>80</v>
      </c>
      <c r="E50" s="59" t="s">
        <v>54</v>
      </c>
      <c r="F50" s="19" t="s">
        <v>128</v>
      </c>
      <c r="G50" s="60">
        <v>1.8749999999999999E-2</v>
      </c>
      <c r="H50" s="58" t="s">
        <v>65</v>
      </c>
    </row>
    <row r="51" spans="2:10" x14ac:dyDescent="0.25">
      <c r="B51" s="57">
        <v>46077</v>
      </c>
      <c r="C51" s="59" t="s">
        <v>55</v>
      </c>
      <c r="D51" s="59" t="s">
        <v>81</v>
      </c>
      <c r="E51" s="59" t="s">
        <v>105</v>
      </c>
      <c r="F51" s="19" t="s">
        <v>110</v>
      </c>
      <c r="G51" s="60">
        <v>3.472222222222222E-3</v>
      </c>
      <c r="H51" s="58" t="s">
        <v>65</v>
      </c>
    </row>
    <row r="52" spans="2:10" ht="45" x14ac:dyDescent="0.25">
      <c r="B52" s="57">
        <v>46078</v>
      </c>
      <c r="C52" s="59" t="s">
        <v>62</v>
      </c>
      <c r="D52" s="59" t="s">
        <v>81</v>
      </c>
      <c r="E52" s="59" t="s">
        <v>108</v>
      </c>
      <c r="F52" s="19" t="s">
        <v>106</v>
      </c>
      <c r="G52" s="60">
        <v>4.7222222222222221E-2</v>
      </c>
      <c r="H52" s="58" t="s">
        <v>65</v>
      </c>
    </row>
    <row r="53" spans="2:10" x14ac:dyDescent="0.25">
      <c r="B53" s="57">
        <v>46078</v>
      </c>
      <c r="C53" s="59" t="s">
        <v>55</v>
      </c>
      <c r="D53" s="59" t="s">
        <v>81</v>
      </c>
      <c r="E53" s="59" t="s">
        <v>57</v>
      </c>
      <c r="F53" s="19" t="s">
        <v>109</v>
      </c>
      <c r="G53" s="60">
        <v>3.3333333333333333E-2</v>
      </c>
      <c r="H53" s="58" t="s">
        <v>65</v>
      </c>
    </row>
    <row r="54" spans="2:10" x14ac:dyDescent="0.25">
      <c r="B54" s="57">
        <v>46058</v>
      </c>
      <c r="C54" s="59" t="s">
        <v>55</v>
      </c>
      <c r="D54" s="59" t="s">
        <v>80</v>
      </c>
      <c r="E54" s="59" t="s">
        <v>102</v>
      </c>
      <c r="F54" s="19" t="s">
        <v>53</v>
      </c>
      <c r="G54" s="60">
        <v>1.3888888888888889E-3</v>
      </c>
      <c r="H54" s="58" t="s">
        <v>79</v>
      </c>
    </row>
    <row r="55" spans="2:10" x14ac:dyDescent="0.25">
      <c r="B55" s="57">
        <v>46058</v>
      </c>
      <c r="C55" s="59" t="s">
        <v>50</v>
      </c>
      <c r="D55" s="59" t="s">
        <v>80</v>
      </c>
      <c r="E55" s="59" t="s">
        <v>102</v>
      </c>
      <c r="F55" s="19" t="s">
        <v>53</v>
      </c>
      <c r="G55" s="60">
        <v>1.3888888888888889E-3</v>
      </c>
      <c r="H55" s="58" t="s">
        <v>79</v>
      </c>
    </row>
    <row r="56" spans="2:10" x14ac:dyDescent="0.25">
      <c r="B56" s="57">
        <v>46078</v>
      </c>
      <c r="C56" s="59" t="s">
        <v>63</v>
      </c>
      <c r="D56" s="59" t="s">
        <v>81</v>
      </c>
      <c r="E56" s="59" t="s">
        <v>107</v>
      </c>
      <c r="F56" s="19" t="s">
        <v>119</v>
      </c>
      <c r="G56" s="60">
        <v>2.4305555555555556E-2</v>
      </c>
      <c r="H56" s="58" t="s">
        <v>78</v>
      </c>
    </row>
    <row r="57" spans="2:10" x14ac:dyDescent="0.25">
      <c r="B57" s="57">
        <v>46078</v>
      </c>
      <c r="C57" s="59" t="s">
        <v>50</v>
      </c>
      <c r="D57" s="59" t="s">
        <v>80</v>
      </c>
      <c r="E57" s="59" t="s">
        <v>102</v>
      </c>
      <c r="F57" s="19" t="s">
        <v>53</v>
      </c>
      <c r="G57" s="60">
        <v>6.9444444444444447E-4</v>
      </c>
      <c r="H57" s="58" t="s">
        <v>79</v>
      </c>
      <c r="J57" s="63"/>
    </row>
    <row r="58" spans="2:10" x14ac:dyDescent="0.25">
      <c r="B58" s="57">
        <v>46078</v>
      </c>
      <c r="C58" s="59" t="s">
        <v>55</v>
      </c>
      <c r="D58" s="59" t="s">
        <v>80</v>
      </c>
      <c r="E58" s="59" t="s">
        <v>102</v>
      </c>
      <c r="F58" s="19" t="s">
        <v>53</v>
      </c>
      <c r="G58" s="60">
        <v>6.9444444444444447E-4</v>
      </c>
      <c r="H58" s="58" t="s">
        <v>79</v>
      </c>
      <c r="J58" s="63"/>
    </row>
    <row r="59" spans="2:10" x14ac:dyDescent="0.25">
      <c r="B59" s="57">
        <v>46079</v>
      </c>
      <c r="C59" s="59" t="s">
        <v>55</v>
      </c>
      <c r="D59" s="59" t="s">
        <v>81</v>
      </c>
      <c r="E59" s="59" t="s">
        <v>57</v>
      </c>
      <c r="F59" s="19"/>
      <c r="G59" s="60">
        <v>0.29375000000000001</v>
      </c>
      <c r="H59" s="58" t="s">
        <v>77</v>
      </c>
      <c r="J59" s="63"/>
    </row>
  </sheetData>
  <sheetProtection selectLockedCells="1" autoFilter="0" selectUnlockedCells="1"/>
  <phoneticPr fontId="4" type="noConversion"/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EA67-D414-41A4-9F38-A356212C539F}">
  <dimension ref="B2:K2966"/>
  <sheetViews>
    <sheetView showGridLines="0" zoomScale="90" zoomScaleNormal="90" workbookViewId="0">
      <selection activeCell="H38" sqref="H38"/>
    </sheetView>
  </sheetViews>
  <sheetFormatPr defaultRowHeight="15" x14ac:dyDescent="0.25"/>
  <cols>
    <col min="1" max="1" width="5.7109375" customWidth="1"/>
    <col min="2" max="2" width="11.28515625" style="4" bestFit="1" customWidth="1"/>
    <col min="3" max="3" width="13.42578125" style="1" bestFit="1" customWidth="1"/>
    <col min="4" max="4" width="13.5703125" style="11" bestFit="1" customWidth="1"/>
    <col min="5" max="5" width="10.7109375" style="11" bestFit="1" customWidth="1"/>
    <col min="6" max="6" width="25.42578125" bestFit="1" customWidth="1"/>
    <col min="7" max="7" width="16.42578125" bestFit="1" customWidth="1"/>
    <col min="8" max="8" width="14.85546875" bestFit="1" customWidth="1"/>
    <col min="9" max="9" width="15.7109375" customWidth="1"/>
    <col min="10" max="10" width="10.7109375" bestFit="1" customWidth="1"/>
    <col min="11" max="11" width="14" style="7" bestFit="1" customWidth="1"/>
    <col min="12" max="12" width="8.5703125" bestFit="1" customWidth="1"/>
    <col min="13" max="13" width="11.28515625" bestFit="1" customWidth="1"/>
  </cols>
  <sheetData>
    <row r="2" spans="2:11" x14ac:dyDescent="0.25">
      <c r="B2" s="22" t="s">
        <v>7</v>
      </c>
      <c r="C2" s="13" t="s">
        <v>9</v>
      </c>
      <c r="D2" s="17" t="s">
        <v>10</v>
      </c>
      <c r="E2" s="18" t="s">
        <v>11</v>
      </c>
    </row>
    <row r="3" spans="2:11" x14ac:dyDescent="0.25">
      <c r="B3" s="23" t="s">
        <v>0</v>
      </c>
      <c r="C3" s="14">
        <v>0.8</v>
      </c>
      <c r="D3" s="15" t="str">
        <f>"Entre "&amp;C3*100&amp;"% "&amp;E3*100&amp;"%"</f>
        <v>Entre 80% 90%</v>
      </c>
      <c r="E3" s="16">
        <v>0.9</v>
      </c>
    </row>
    <row r="4" spans="2:11" x14ac:dyDescent="0.25">
      <c r="B4" s="23" t="s">
        <v>8</v>
      </c>
      <c r="C4" s="14">
        <v>0.7</v>
      </c>
      <c r="D4" s="15" t="str">
        <f t="shared" ref="D4:D5" si="0">"Entre "&amp;C4*100&amp;"% "&amp;E4*100&amp;"%"</f>
        <v>Entre 70% 85%</v>
      </c>
      <c r="E4" s="16">
        <v>0.85</v>
      </c>
    </row>
    <row r="5" spans="2:11" x14ac:dyDescent="0.25">
      <c r="B5" s="23" t="s">
        <v>12</v>
      </c>
      <c r="C5" s="14">
        <v>0.6</v>
      </c>
      <c r="D5" s="15" t="str">
        <f t="shared" si="0"/>
        <v>Entre 60% 80%</v>
      </c>
      <c r="E5" s="16">
        <v>0.8</v>
      </c>
    </row>
    <row r="6" spans="2:11" ht="15.75" thickBot="1" x14ac:dyDescent="0.3">
      <c r="B6" s="1"/>
      <c r="C6" s="9"/>
      <c r="D6" s="1"/>
      <c r="E6" s="10"/>
    </row>
    <row r="7" spans="2:11" x14ac:dyDescent="0.25">
      <c r="B7" s="81" t="s">
        <v>40</v>
      </c>
      <c r="C7" s="82"/>
      <c r="D7" s="82"/>
      <c r="E7" s="83"/>
    </row>
    <row r="8" spans="2:11" x14ac:dyDescent="0.25">
      <c r="B8" s="24" t="s">
        <v>37</v>
      </c>
      <c r="C8" s="25">
        <v>46023</v>
      </c>
      <c r="D8" s="26"/>
      <c r="E8" s="27"/>
    </row>
    <row r="9" spans="2:11" x14ac:dyDescent="0.25">
      <c r="B9" s="24" t="s">
        <v>38</v>
      </c>
      <c r="C9" s="25">
        <v>46053</v>
      </c>
      <c r="D9" s="26"/>
      <c r="E9" s="27"/>
    </row>
    <row r="10" spans="2:11" x14ac:dyDescent="0.25">
      <c r="B10" s="28" t="s">
        <v>42</v>
      </c>
      <c r="C10" s="29" t="str">
        <f>B4</f>
        <v>Tempo de fábrica</v>
      </c>
      <c r="D10" s="30" t="str">
        <f>B3</f>
        <v>Produtividade</v>
      </c>
      <c r="E10" s="31" t="str">
        <f>B5</f>
        <v>Maquinário</v>
      </c>
    </row>
    <row r="11" spans="2:11" ht="15.75" thickBot="1" x14ac:dyDescent="0.3">
      <c r="B11" s="12">
        <f>C9-C8</f>
        <v>30</v>
      </c>
      <c r="C11" s="40">
        <f>GETPIVOTDATA("Tempo Fábrica",$B$14)</f>
        <v>0.84464671748776909</v>
      </c>
      <c r="D11" s="32">
        <f>GETPIVOTDATA("Produtividade.",$B$14)</f>
        <v>0.91863961712761</v>
      </c>
      <c r="E11" s="33">
        <f>GETPIVOTDATA("Maquinário",$B$14)</f>
        <v>0.77592593716105673</v>
      </c>
    </row>
    <row r="12" spans="2:11" ht="15.75" thickTop="1" x14ac:dyDescent="0.25"/>
    <row r="13" spans="2:11" x14ac:dyDescent="0.25">
      <c r="B13" s="80" t="s">
        <v>41</v>
      </c>
      <c r="C13" s="80"/>
      <c r="D13" s="80"/>
      <c r="E13" s="80"/>
      <c r="H13" s="8"/>
    </row>
    <row r="14" spans="2:11" x14ac:dyDescent="0.25">
      <c r="B14" s="34" t="s">
        <v>5</v>
      </c>
      <c r="C14" s="36" t="s">
        <v>6</v>
      </c>
      <c r="D14" s="35" t="s">
        <v>44</v>
      </c>
      <c r="E14" s="35" t="s">
        <v>12</v>
      </c>
    </row>
    <row r="15" spans="2:11" x14ac:dyDescent="0.25">
      <c r="B15" s="5">
        <v>46055</v>
      </c>
      <c r="C15" s="42">
        <v>0.80177140447068751</v>
      </c>
      <c r="D15" s="36">
        <v>0.71240235174661404</v>
      </c>
      <c r="E15" s="36">
        <v>0.57118383410810347</v>
      </c>
    </row>
    <row r="16" spans="2:11" x14ac:dyDescent="0.25">
      <c r="B16" s="5">
        <v>46056</v>
      </c>
      <c r="C16" s="42">
        <v>0.69233903830480847</v>
      </c>
      <c r="D16" s="36">
        <v>0.76647490440593891</v>
      </c>
      <c r="E16" s="36">
        <v>0.53066049820117778</v>
      </c>
      <c r="K16"/>
    </row>
    <row r="17" spans="2:5" x14ac:dyDescent="0.25">
      <c r="B17" s="5">
        <v>46057</v>
      </c>
      <c r="C17" s="42">
        <v>0.91116974494283209</v>
      </c>
      <c r="D17" s="36">
        <v>0.88568912829543689</v>
      </c>
      <c r="E17" s="36">
        <v>0.80701313712759248</v>
      </c>
    </row>
    <row r="18" spans="2:5" x14ac:dyDescent="0.25">
      <c r="B18" s="5">
        <v>46058</v>
      </c>
      <c r="C18" s="42">
        <v>0.90379008746355682</v>
      </c>
      <c r="D18" s="36">
        <v>1.0131719902832053</v>
      </c>
      <c r="E18" s="36">
        <v>0.915694801713684</v>
      </c>
    </row>
    <row r="19" spans="2:5" x14ac:dyDescent="0.25">
      <c r="B19" s="5">
        <v>46059</v>
      </c>
      <c r="C19" s="42">
        <v>0.84785714285714286</v>
      </c>
      <c r="D19" s="36">
        <v>0.94284195506812518</v>
      </c>
      <c r="E19" s="36">
        <v>0.7993952861899033</v>
      </c>
    </row>
    <row r="20" spans="2:5" x14ac:dyDescent="0.25">
      <c r="B20" s="5">
        <v>46062</v>
      </c>
      <c r="C20" s="42">
        <v>0.86010573403822688</v>
      </c>
      <c r="D20" s="36">
        <v>0.83152695355531081</v>
      </c>
      <c r="E20" s="36">
        <v>0.71520110076026122</v>
      </c>
    </row>
    <row r="21" spans="2:5" x14ac:dyDescent="0.25">
      <c r="B21" s="5">
        <v>46063</v>
      </c>
      <c r="C21" s="42">
        <v>0.91361702127659572</v>
      </c>
      <c r="D21" s="36">
        <v>0.95981078801657438</v>
      </c>
      <c r="E21" s="36">
        <v>0.87689947313684469</v>
      </c>
    </row>
    <row r="22" spans="2:5" x14ac:dyDescent="0.25">
      <c r="B22" s="5">
        <v>46064</v>
      </c>
      <c r="C22" s="42">
        <v>0.88797702092736963</v>
      </c>
      <c r="D22" s="36">
        <v>0.97447838363096329</v>
      </c>
      <c r="E22" s="36">
        <v>0.86531441205474124</v>
      </c>
    </row>
    <row r="23" spans="2:5" x14ac:dyDescent="0.25">
      <c r="B23" s="5">
        <v>46065</v>
      </c>
      <c r="C23" s="42">
        <v>0.77154989384288752</v>
      </c>
      <c r="D23" s="36">
        <v>0.84797037145685894</v>
      </c>
      <c r="E23" s="36">
        <v>0.6542514500794534</v>
      </c>
    </row>
    <row r="24" spans="2:5" x14ac:dyDescent="0.25">
      <c r="B24" s="5">
        <v>46066</v>
      </c>
      <c r="C24" s="42">
        <v>0.85940879596250896</v>
      </c>
      <c r="D24" s="36">
        <v>0.99850968703427723</v>
      </c>
      <c r="E24" s="36">
        <v>0.85812800789102983</v>
      </c>
    </row>
    <row r="25" spans="2:5" x14ac:dyDescent="0.25">
      <c r="B25" s="5">
        <v>46069</v>
      </c>
      <c r="C25" s="42">
        <v>0.78680981595092025</v>
      </c>
      <c r="D25" s="36">
        <v>0.75662042875157631</v>
      </c>
      <c r="E25" s="36">
        <v>0.59531638029073408</v>
      </c>
    </row>
    <row r="26" spans="2:5" x14ac:dyDescent="0.25">
      <c r="B26" s="5">
        <v>46070</v>
      </c>
      <c r="C26" s="42">
        <v>0.89929255097794436</v>
      </c>
      <c r="D26" s="36">
        <v>0.98180508016573587</v>
      </c>
      <c r="E26" s="36">
        <v>0.88292999510534975</v>
      </c>
    </row>
    <row r="27" spans="2:5" x14ac:dyDescent="0.25">
      <c r="B27" s="5">
        <v>46071</v>
      </c>
      <c r="C27" s="42">
        <v>0.81119402985074618</v>
      </c>
      <c r="D27" s="36">
        <v>0.77794648250640808</v>
      </c>
      <c r="E27" s="36">
        <v>0.63106554215258615</v>
      </c>
    </row>
    <row r="28" spans="2:5" x14ac:dyDescent="0.25">
      <c r="B28" s="5">
        <v>46072</v>
      </c>
      <c r="C28" s="42">
        <v>0.75052675937631685</v>
      </c>
      <c r="D28" s="36">
        <v>0.87990623015937619</v>
      </c>
      <c r="E28" s="36">
        <v>0.66039317147654819</v>
      </c>
    </row>
    <row r="29" spans="2:5" x14ac:dyDescent="0.25">
      <c r="B29" s="5">
        <v>46073</v>
      </c>
      <c r="C29" s="42">
        <v>0.7312560856864655</v>
      </c>
      <c r="D29" s="36">
        <v>0.90528687535205599</v>
      </c>
      <c r="E29" s="36">
        <v>0.66199653689327564</v>
      </c>
    </row>
    <row r="30" spans="2:5" x14ac:dyDescent="0.25">
      <c r="B30" s="5">
        <v>46076</v>
      </c>
      <c r="C30" s="42">
        <v>0.90355329949238583</v>
      </c>
      <c r="D30" s="36">
        <v>0.95319484617407313</v>
      </c>
      <c r="E30" s="36">
        <v>0.86126234831972093</v>
      </c>
    </row>
    <row r="31" spans="2:5" x14ac:dyDescent="0.25">
      <c r="B31" s="5">
        <v>46077</v>
      </c>
      <c r="C31" s="42">
        <v>0.88634435962680236</v>
      </c>
      <c r="D31" s="36">
        <v>1.0069773451632353</v>
      </c>
      <c r="E31" s="36">
        <v>0.89252869015740532</v>
      </c>
    </row>
    <row r="32" spans="2:5" x14ac:dyDescent="0.25">
      <c r="B32" s="5">
        <v>46078</v>
      </c>
      <c r="C32" s="42">
        <v>0.87141687141687152</v>
      </c>
      <c r="D32" s="36">
        <v>1.1517883681759635</v>
      </c>
      <c r="E32" s="36">
        <v>1.0036878163302418</v>
      </c>
    </row>
    <row r="33" spans="2:5" x14ac:dyDescent="0.25">
      <c r="B33" s="5">
        <v>46079</v>
      </c>
      <c r="C33" s="42">
        <v>0.90571547768043392</v>
      </c>
      <c r="D33" s="36">
        <v>1.071988998007652</v>
      </c>
      <c r="E33" s="36">
        <v>0.97091702739867025</v>
      </c>
    </row>
    <row r="34" spans="2:5" x14ac:dyDescent="0.25">
      <c r="B34" s="5">
        <v>46080</v>
      </c>
      <c r="C34" s="42">
        <v>0.86120996441281139</v>
      </c>
      <c r="D34" s="36">
        <v>1.0925895362271001</v>
      </c>
      <c r="E34" s="36">
        <v>0.940948995611951</v>
      </c>
    </row>
    <row r="35" spans="2:5" x14ac:dyDescent="0.25">
      <c r="B35" s="37" t="s">
        <v>43</v>
      </c>
      <c r="C35" s="36">
        <v>0.84464671748776909</v>
      </c>
      <c r="D35" s="42">
        <v>0.91863961712761</v>
      </c>
      <c r="E35" s="42">
        <v>0.77592593716105673</v>
      </c>
    </row>
    <row r="36" spans="2:5" x14ac:dyDescent="0.25">
      <c r="B36"/>
      <c r="C36"/>
      <c r="D36"/>
      <c r="E36"/>
    </row>
    <row r="37" spans="2:5" x14ac:dyDescent="0.25">
      <c r="B37"/>
      <c r="C37"/>
      <c r="D37"/>
      <c r="E37"/>
    </row>
    <row r="38" spans="2:5" x14ac:dyDescent="0.25">
      <c r="B38"/>
      <c r="C38"/>
      <c r="D38"/>
      <c r="E38"/>
    </row>
    <row r="39" spans="2:5" x14ac:dyDescent="0.25">
      <c r="C39" s="11"/>
    </row>
    <row r="40" spans="2:5" x14ac:dyDescent="0.25">
      <c r="B40" s="38" t="s">
        <v>5</v>
      </c>
      <c r="C40" s="38" t="str">
        <f>B4</f>
        <v>Tempo de fábrica</v>
      </c>
      <c r="D40" s="38" t="str">
        <f>B3</f>
        <v>Produtividade</v>
      </c>
      <c r="E40" s="38" t="str">
        <f>B5</f>
        <v>Maquinário</v>
      </c>
    </row>
    <row r="41" spans="2:5" x14ac:dyDescent="0.25">
      <c r="B41" s="4" cm="1">
        <f t="array" ref="B41:E60">CHOOSE({1,2,3,4},BD_PROD!$B$7:$B$26,BD_PROD!$O$7:$O$26/BD_PROD!$AC$7:$AC$26,BD_PROD!$M$7:$M$26/BD_PROD!$C$7:$C$26,(BD_PROD!$O$7:$O$26/BD_PROD!$AC$7:$AC$26)*(BD_PROD!$M$7:$M$26/BD_PROD!$C$7:$C$26))</f>
        <v>46055</v>
      </c>
      <c r="C41" s="11">
        <v>0.80653372931692824</v>
      </c>
      <c r="D41" s="11">
        <v>0.71240235174661404</v>
      </c>
      <c r="E41" s="11">
        <v>0.5745765255283467</v>
      </c>
    </row>
    <row r="42" spans="2:5" x14ac:dyDescent="0.25">
      <c r="B42" s="4">
        <v>46056</v>
      </c>
      <c r="C42" s="11">
        <v>0.69233903830480847</v>
      </c>
      <c r="D42" s="11">
        <v>0.76647490440593891</v>
      </c>
      <c r="E42" s="11">
        <v>0.53066049820117778</v>
      </c>
    </row>
    <row r="43" spans="2:5" x14ac:dyDescent="0.25">
      <c r="B43" s="4">
        <v>46057</v>
      </c>
      <c r="C43" s="11">
        <v>0.91116974494283209</v>
      </c>
      <c r="D43" s="11">
        <v>0.88568912829543689</v>
      </c>
      <c r="E43" s="11">
        <v>0.80701313712759248</v>
      </c>
    </row>
    <row r="44" spans="2:5" x14ac:dyDescent="0.25">
      <c r="B44" s="4">
        <v>46058</v>
      </c>
      <c r="C44" s="11">
        <v>0.90379008746355682</v>
      </c>
      <c r="D44" s="11">
        <v>1.0131719902832053</v>
      </c>
      <c r="E44" s="11">
        <v>0.915694801713684</v>
      </c>
    </row>
    <row r="45" spans="2:5" x14ac:dyDescent="0.25">
      <c r="B45" s="4">
        <v>46059</v>
      </c>
      <c r="C45" s="11">
        <v>0.84785714285714298</v>
      </c>
      <c r="D45" s="11">
        <v>0.94284195506812518</v>
      </c>
      <c r="E45" s="11">
        <v>0.79939528618990341</v>
      </c>
    </row>
    <row r="46" spans="2:5" x14ac:dyDescent="0.25">
      <c r="B46" s="4">
        <v>46062</v>
      </c>
      <c r="C46" s="11">
        <v>0.86010573403822688</v>
      </c>
      <c r="D46" s="11">
        <v>0.83152695355531081</v>
      </c>
      <c r="E46" s="11">
        <v>0.71520110076026122</v>
      </c>
    </row>
    <row r="47" spans="2:5" x14ac:dyDescent="0.25">
      <c r="B47" s="4">
        <v>46063</v>
      </c>
      <c r="C47" s="11">
        <v>0.91361702127659583</v>
      </c>
      <c r="D47" s="11">
        <v>0.95981078801657438</v>
      </c>
      <c r="E47" s="11">
        <v>0.8768994731368448</v>
      </c>
    </row>
    <row r="48" spans="2:5" x14ac:dyDescent="0.25">
      <c r="B48" s="4">
        <v>46064</v>
      </c>
      <c r="C48" s="11">
        <v>0.88797702092736974</v>
      </c>
      <c r="D48" s="11">
        <v>0.97447838363096329</v>
      </c>
      <c r="E48" s="11">
        <v>0.86531441205474136</v>
      </c>
    </row>
    <row r="49" spans="2:5" x14ac:dyDescent="0.25">
      <c r="B49" s="4">
        <v>46065</v>
      </c>
      <c r="C49" s="11">
        <v>0.77154989384288752</v>
      </c>
      <c r="D49" s="11">
        <v>0.84797037145685894</v>
      </c>
      <c r="E49" s="11">
        <v>0.6542514500794534</v>
      </c>
    </row>
    <row r="50" spans="2:5" x14ac:dyDescent="0.25">
      <c r="B50" s="4">
        <v>46066</v>
      </c>
      <c r="C50" s="11">
        <v>0.85940879596250908</v>
      </c>
      <c r="D50" s="11">
        <v>0.99850968703427723</v>
      </c>
      <c r="E50" s="11">
        <v>0.85812800789102994</v>
      </c>
    </row>
    <row r="51" spans="2:5" x14ac:dyDescent="0.25">
      <c r="B51" s="4">
        <v>46069</v>
      </c>
      <c r="C51" s="11">
        <v>0.78680981595092025</v>
      </c>
      <c r="D51" s="11">
        <v>0.75662042875157631</v>
      </c>
      <c r="E51" s="11">
        <v>0.59531638029073408</v>
      </c>
    </row>
    <row r="52" spans="2:5" x14ac:dyDescent="0.25">
      <c r="B52" s="4">
        <v>46070</v>
      </c>
      <c r="C52" s="11">
        <v>0.89929255097794436</v>
      </c>
      <c r="D52" s="11">
        <v>0.98180508016573587</v>
      </c>
      <c r="E52" s="11">
        <v>0.88292999510534975</v>
      </c>
    </row>
    <row r="53" spans="2:5" x14ac:dyDescent="0.25">
      <c r="B53" s="4">
        <v>46071</v>
      </c>
      <c r="C53" s="11">
        <v>0.8111940298507464</v>
      </c>
      <c r="D53" s="11">
        <v>0.77794648250640808</v>
      </c>
      <c r="E53" s="11">
        <v>0.63106554215258637</v>
      </c>
    </row>
    <row r="54" spans="2:5" x14ac:dyDescent="0.25">
      <c r="B54" s="4">
        <v>46072</v>
      </c>
      <c r="C54" s="11">
        <v>0.75052675937631697</v>
      </c>
      <c r="D54" s="11">
        <v>0.87990623015937619</v>
      </c>
      <c r="E54" s="11">
        <v>0.6603931714765483</v>
      </c>
    </row>
    <row r="55" spans="2:5" x14ac:dyDescent="0.25">
      <c r="B55" s="4">
        <v>46073</v>
      </c>
      <c r="C55" s="11">
        <v>0.7312560856864655</v>
      </c>
      <c r="D55" s="11">
        <v>0.90528687535205599</v>
      </c>
      <c r="E55" s="11">
        <v>0.66199653689327564</v>
      </c>
    </row>
    <row r="56" spans="2:5" x14ac:dyDescent="0.25">
      <c r="B56" s="4">
        <v>46076</v>
      </c>
      <c r="C56" s="11">
        <v>0.90355329949238572</v>
      </c>
      <c r="D56" s="11">
        <v>0.95319484617407313</v>
      </c>
      <c r="E56" s="11">
        <v>0.86126234831972082</v>
      </c>
    </row>
    <row r="57" spans="2:5" x14ac:dyDescent="0.25">
      <c r="B57" s="4">
        <v>46077</v>
      </c>
      <c r="C57" s="11">
        <v>0.88634435962680236</v>
      </c>
      <c r="D57" s="11">
        <v>1.0069773451632353</v>
      </c>
      <c r="E57" s="11">
        <v>0.89252869015740532</v>
      </c>
    </row>
    <row r="58" spans="2:5" x14ac:dyDescent="0.25">
      <c r="B58" s="4">
        <v>46078</v>
      </c>
      <c r="C58" s="11">
        <v>0.87141687141687152</v>
      </c>
      <c r="D58" s="11">
        <v>1.1517883681759635</v>
      </c>
      <c r="E58" s="11">
        <v>1.0036878163302418</v>
      </c>
    </row>
    <row r="59" spans="2:5" x14ac:dyDescent="0.25">
      <c r="B59" s="4">
        <v>46079</v>
      </c>
      <c r="C59" s="11">
        <v>0.76985815602836882</v>
      </c>
      <c r="D59" s="11">
        <v>1.071988998007652</v>
      </c>
      <c r="E59" s="11">
        <v>0.82527947328886975</v>
      </c>
    </row>
    <row r="60" spans="2:5" x14ac:dyDescent="0.25">
      <c r="B60" s="4">
        <v>46080</v>
      </c>
      <c r="C60" s="11">
        <v>0.86120996441281139</v>
      </c>
      <c r="D60" s="11">
        <v>1.0925895362271001</v>
      </c>
      <c r="E60" s="11">
        <v>0.940948995611951</v>
      </c>
    </row>
    <row r="61" spans="2:5" x14ac:dyDescent="0.25">
      <c r="C61" s="11"/>
    </row>
    <row r="62" spans="2:5" x14ac:dyDescent="0.25">
      <c r="C62" s="11"/>
    </row>
    <row r="63" spans="2:5" x14ac:dyDescent="0.25">
      <c r="C63" s="11"/>
    </row>
    <row r="64" spans="2:5" x14ac:dyDescent="0.25">
      <c r="C64" s="11"/>
    </row>
    <row r="65" spans="3:3" x14ac:dyDescent="0.25">
      <c r="C65" s="11"/>
    </row>
    <row r="66" spans="3:3" x14ac:dyDescent="0.25">
      <c r="C66" s="11"/>
    </row>
    <row r="67" spans="3:3" x14ac:dyDescent="0.25">
      <c r="C67" s="11"/>
    </row>
    <row r="68" spans="3:3" x14ac:dyDescent="0.25">
      <c r="C68" s="11"/>
    </row>
    <row r="69" spans="3:3" x14ac:dyDescent="0.25">
      <c r="C69" s="11"/>
    </row>
    <row r="70" spans="3:3" x14ac:dyDescent="0.25">
      <c r="C70" s="11"/>
    </row>
    <row r="71" spans="3:3" x14ac:dyDescent="0.25">
      <c r="C71" s="11"/>
    </row>
    <row r="72" spans="3:3" x14ac:dyDescent="0.25">
      <c r="C72" s="11"/>
    </row>
    <row r="73" spans="3:3" x14ac:dyDescent="0.25">
      <c r="C73" s="11"/>
    </row>
    <row r="74" spans="3:3" x14ac:dyDescent="0.25">
      <c r="C74" s="11"/>
    </row>
    <row r="75" spans="3:3" x14ac:dyDescent="0.25">
      <c r="C75" s="11"/>
    </row>
    <row r="76" spans="3:3" x14ac:dyDescent="0.25">
      <c r="C76" s="11"/>
    </row>
    <row r="77" spans="3:3" x14ac:dyDescent="0.25">
      <c r="C77" s="11"/>
    </row>
    <row r="78" spans="3:3" x14ac:dyDescent="0.25">
      <c r="C78" s="11"/>
    </row>
    <row r="79" spans="3:3" x14ac:dyDescent="0.25">
      <c r="C79" s="11"/>
    </row>
    <row r="80" spans="3:3" x14ac:dyDescent="0.25">
      <c r="C80" s="11"/>
    </row>
    <row r="81" spans="3:3" x14ac:dyDescent="0.25">
      <c r="C81" s="11"/>
    </row>
    <row r="82" spans="3:3" x14ac:dyDescent="0.25">
      <c r="C82" s="11"/>
    </row>
    <row r="83" spans="3:3" x14ac:dyDescent="0.25">
      <c r="C83" s="11"/>
    </row>
    <row r="84" spans="3:3" x14ac:dyDescent="0.25">
      <c r="C84" s="11"/>
    </row>
    <row r="85" spans="3:3" x14ac:dyDescent="0.25">
      <c r="C85" s="11"/>
    </row>
    <row r="86" spans="3:3" x14ac:dyDescent="0.25">
      <c r="C86" s="11"/>
    </row>
    <row r="87" spans="3:3" x14ac:dyDescent="0.25">
      <c r="C87" s="11"/>
    </row>
    <row r="88" spans="3:3" x14ac:dyDescent="0.25">
      <c r="C88" s="11"/>
    </row>
    <row r="89" spans="3:3" x14ac:dyDescent="0.25">
      <c r="C89" s="11"/>
    </row>
    <row r="90" spans="3:3" x14ac:dyDescent="0.25">
      <c r="C90" s="11"/>
    </row>
    <row r="91" spans="3:3" x14ac:dyDescent="0.25">
      <c r="C91" s="11"/>
    </row>
    <row r="92" spans="3:3" x14ac:dyDescent="0.25">
      <c r="C92" s="11"/>
    </row>
    <row r="93" spans="3:3" x14ac:dyDescent="0.25">
      <c r="C93" s="11"/>
    </row>
    <row r="94" spans="3:3" x14ac:dyDescent="0.25">
      <c r="C94" s="11"/>
    </row>
    <row r="95" spans="3:3" x14ac:dyDescent="0.25">
      <c r="C95" s="11"/>
    </row>
    <row r="96" spans="3:3" x14ac:dyDescent="0.25">
      <c r="C96" s="11"/>
    </row>
    <row r="97" spans="3:3" x14ac:dyDescent="0.25">
      <c r="C97" s="11"/>
    </row>
    <row r="98" spans="3:3" x14ac:dyDescent="0.25">
      <c r="C98" s="11"/>
    </row>
    <row r="99" spans="3:3" x14ac:dyDescent="0.25">
      <c r="C99" s="11"/>
    </row>
    <row r="100" spans="3:3" x14ac:dyDescent="0.25">
      <c r="C100" s="11"/>
    </row>
    <row r="101" spans="3:3" x14ac:dyDescent="0.25">
      <c r="C101" s="11"/>
    </row>
    <row r="102" spans="3:3" x14ac:dyDescent="0.25">
      <c r="C102" s="11"/>
    </row>
    <row r="103" spans="3:3" x14ac:dyDescent="0.25">
      <c r="C103" s="11"/>
    </row>
    <row r="104" spans="3:3" x14ac:dyDescent="0.25">
      <c r="C104" s="11"/>
    </row>
    <row r="105" spans="3:3" x14ac:dyDescent="0.25">
      <c r="C105" s="11"/>
    </row>
    <row r="106" spans="3:3" x14ac:dyDescent="0.25">
      <c r="C106" s="11"/>
    </row>
    <row r="107" spans="3:3" x14ac:dyDescent="0.25">
      <c r="C107" s="11"/>
    </row>
    <row r="108" spans="3:3" x14ac:dyDescent="0.25">
      <c r="C108" s="11"/>
    </row>
    <row r="109" spans="3:3" x14ac:dyDescent="0.25">
      <c r="C109" s="11"/>
    </row>
    <row r="110" spans="3:3" x14ac:dyDescent="0.25">
      <c r="C110" s="11"/>
    </row>
    <row r="111" spans="3:3" x14ac:dyDescent="0.25">
      <c r="C111" s="11"/>
    </row>
    <row r="112" spans="3:3" x14ac:dyDescent="0.25">
      <c r="C112" s="11"/>
    </row>
    <row r="113" spans="3:3" x14ac:dyDescent="0.25">
      <c r="C113" s="11"/>
    </row>
    <row r="114" spans="3:3" x14ac:dyDescent="0.25">
      <c r="C114" s="11"/>
    </row>
    <row r="115" spans="3:3" x14ac:dyDescent="0.25">
      <c r="C115" s="11"/>
    </row>
    <row r="116" spans="3:3" x14ac:dyDescent="0.25">
      <c r="C116" s="11"/>
    </row>
    <row r="117" spans="3:3" x14ac:dyDescent="0.25">
      <c r="C117" s="11"/>
    </row>
    <row r="118" spans="3:3" x14ac:dyDescent="0.25">
      <c r="C118" s="11"/>
    </row>
    <row r="119" spans="3:3" x14ac:dyDescent="0.25">
      <c r="C119" s="11"/>
    </row>
    <row r="120" spans="3:3" x14ac:dyDescent="0.25">
      <c r="C120" s="11"/>
    </row>
    <row r="121" spans="3:3" x14ac:dyDescent="0.25">
      <c r="C121" s="11"/>
    </row>
    <row r="122" spans="3:3" x14ac:dyDescent="0.25">
      <c r="C122" s="11"/>
    </row>
    <row r="123" spans="3:3" x14ac:dyDescent="0.25">
      <c r="C123" s="11"/>
    </row>
    <row r="124" spans="3:3" x14ac:dyDescent="0.25">
      <c r="C124" s="11"/>
    </row>
    <row r="125" spans="3:3" x14ac:dyDescent="0.25">
      <c r="C125" s="11"/>
    </row>
    <row r="126" spans="3:3" x14ac:dyDescent="0.25">
      <c r="C126" s="11"/>
    </row>
    <row r="127" spans="3:3" x14ac:dyDescent="0.25">
      <c r="C127" s="11"/>
    </row>
    <row r="128" spans="3:3" x14ac:dyDescent="0.25">
      <c r="C128" s="11"/>
    </row>
    <row r="129" spans="3:3" x14ac:dyDescent="0.25">
      <c r="C129" s="11"/>
    </row>
    <row r="130" spans="3:3" x14ac:dyDescent="0.25">
      <c r="C130" s="11"/>
    </row>
    <row r="131" spans="3:3" x14ac:dyDescent="0.25">
      <c r="C131" s="11"/>
    </row>
    <row r="132" spans="3:3" x14ac:dyDescent="0.25">
      <c r="C132" s="11"/>
    </row>
    <row r="133" spans="3:3" x14ac:dyDescent="0.25">
      <c r="C133" s="11"/>
    </row>
    <row r="134" spans="3:3" x14ac:dyDescent="0.25">
      <c r="C134" s="11"/>
    </row>
    <row r="135" spans="3:3" x14ac:dyDescent="0.25">
      <c r="C135" s="11"/>
    </row>
    <row r="136" spans="3:3" x14ac:dyDescent="0.25">
      <c r="C136" s="11"/>
    </row>
    <row r="137" spans="3:3" x14ac:dyDescent="0.25">
      <c r="C137" s="11"/>
    </row>
    <row r="138" spans="3:3" x14ac:dyDescent="0.25">
      <c r="C138" s="11"/>
    </row>
    <row r="139" spans="3:3" x14ac:dyDescent="0.25">
      <c r="C139" s="11"/>
    </row>
    <row r="140" spans="3:3" x14ac:dyDescent="0.25">
      <c r="C140" s="11"/>
    </row>
    <row r="141" spans="3:3" x14ac:dyDescent="0.25">
      <c r="C141" s="11"/>
    </row>
    <row r="142" spans="3:3" x14ac:dyDescent="0.25">
      <c r="C142" s="11"/>
    </row>
    <row r="143" spans="3:3" x14ac:dyDescent="0.25">
      <c r="C143" s="11"/>
    </row>
    <row r="144" spans="3:3" x14ac:dyDescent="0.25">
      <c r="C144" s="11"/>
    </row>
    <row r="145" spans="3:3" x14ac:dyDescent="0.25">
      <c r="C145" s="11"/>
    </row>
    <row r="146" spans="3:3" x14ac:dyDescent="0.25">
      <c r="C146" s="11"/>
    </row>
    <row r="147" spans="3:3" x14ac:dyDescent="0.25">
      <c r="C147" s="11"/>
    </row>
    <row r="148" spans="3:3" x14ac:dyDescent="0.25">
      <c r="C148" s="11"/>
    </row>
    <row r="149" spans="3:3" x14ac:dyDescent="0.25">
      <c r="C149" s="11"/>
    </row>
    <row r="150" spans="3:3" x14ac:dyDescent="0.25">
      <c r="C150" s="11"/>
    </row>
    <row r="151" spans="3:3" x14ac:dyDescent="0.25">
      <c r="C151" s="11"/>
    </row>
    <row r="152" spans="3:3" x14ac:dyDescent="0.25">
      <c r="C152" s="11"/>
    </row>
    <row r="153" spans="3:3" x14ac:dyDescent="0.25">
      <c r="C153" s="11"/>
    </row>
    <row r="154" spans="3:3" x14ac:dyDescent="0.25">
      <c r="C154" s="11"/>
    </row>
    <row r="155" spans="3:3" x14ac:dyDescent="0.25">
      <c r="C155" s="11"/>
    </row>
    <row r="156" spans="3:3" x14ac:dyDescent="0.25">
      <c r="C156" s="11"/>
    </row>
    <row r="157" spans="3:3" x14ac:dyDescent="0.25">
      <c r="C157" s="11"/>
    </row>
    <row r="158" spans="3:3" x14ac:dyDescent="0.25">
      <c r="C158" s="11"/>
    </row>
    <row r="159" spans="3:3" x14ac:dyDescent="0.25">
      <c r="C159" s="11"/>
    </row>
    <row r="160" spans="3:3" x14ac:dyDescent="0.25">
      <c r="C160" s="11"/>
    </row>
    <row r="161" spans="3:3" x14ac:dyDescent="0.25">
      <c r="C161" s="11"/>
    </row>
    <row r="162" spans="3:3" x14ac:dyDescent="0.25">
      <c r="C162" s="11"/>
    </row>
    <row r="163" spans="3:3" x14ac:dyDescent="0.25">
      <c r="C163" s="11"/>
    </row>
    <row r="164" spans="3:3" x14ac:dyDescent="0.25">
      <c r="C164" s="11"/>
    </row>
    <row r="165" spans="3:3" x14ac:dyDescent="0.25">
      <c r="C165" s="11"/>
    </row>
    <row r="166" spans="3:3" x14ac:dyDescent="0.25">
      <c r="C166" s="11"/>
    </row>
    <row r="167" spans="3:3" x14ac:dyDescent="0.25">
      <c r="C167" s="11"/>
    </row>
    <row r="168" spans="3:3" x14ac:dyDescent="0.25">
      <c r="C168" s="11"/>
    </row>
    <row r="169" spans="3:3" x14ac:dyDescent="0.25">
      <c r="C169" s="11"/>
    </row>
    <row r="170" spans="3:3" x14ac:dyDescent="0.25">
      <c r="C170" s="11"/>
    </row>
    <row r="171" spans="3:3" x14ac:dyDescent="0.25">
      <c r="C171" s="11"/>
    </row>
    <row r="172" spans="3:3" x14ac:dyDescent="0.25">
      <c r="C172" s="11"/>
    </row>
    <row r="173" spans="3:3" x14ac:dyDescent="0.25">
      <c r="C173" s="11"/>
    </row>
    <row r="174" spans="3:3" x14ac:dyDescent="0.25">
      <c r="C174" s="11"/>
    </row>
    <row r="175" spans="3:3" x14ac:dyDescent="0.25">
      <c r="C175" s="11"/>
    </row>
    <row r="176" spans="3:3" x14ac:dyDescent="0.25">
      <c r="C176" s="11"/>
    </row>
    <row r="177" spans="3:3" x14ac:dyDescent="0.25">
      <c r="C177" s="11"/>
    </row>
    <row r="178" spans="3:3" x14ac:dyDescent="0.25">
      <c r="C178" s="11"/>
    </row>
    <row r="179" spans="3:3" x14ac:dyDescent="0.25">
      <c r="C179" s="11"/>
    </row>
    <row r="180" spans="3:3" x14ac:dyDescent="0.25">
      <c r="C180" s="11"/>
    </row>
    <row r="181" spans="3:3" x14ac:dyDescent="0.25">
      <c r="C181" s="11"/>
    </row>
    <row r="182" spans="3:3" x14ac:dyDescent="0.25">
      <c r="C182" s="11"/>
    </row>
    <row r="183" spans="3:3" x14ac:dyDescent="0.25">
      <c r="C183" s="11"/>
    </row>
    <row r="184" spans="3:3" x14ac:dyDescent="0.25">
      <c r="C184" s="11"/>
    </row>
    <row r="185" spans="3:3" x14ac:dyDescent="0.25">
      <c r="C185" s="11"/>
    </row>
    <row r="186" spans="3:3" x14ac:dyDescent="0.25">
      <c r="C186" s="11"/>
    </row>
    <row r="187" spans="3:3" x14ac:dyDescent="0.25">
      <c r="C187" s="11"/>
    </row>
    <row r="188" spans="3:3" x14ac:dyDescent="0.25">
      <c r="C188" s="11"/>
    </row>
    <row r="189" spans="3:3" x14ac:dyDescent="0.25">
      <c r="C189" s="11"/>
    </row>
    <row r="190" spans="3:3" x14ac:dyDescent="0.25">
      <c r="C190" s="11"/>
    </row>
    <row r="191" spans="3:3" x14ac:dyDescent="0.25">
      <c r="C191" s="11"/>
    </row>
    <row r="192" spans="3:3" x14ac:dyDescent="0.25">
      <c r="C192" s="11"/>
    </row>
    <row r="193" spans="3:3" x14ac:dyDescent="0.25">
      <c r="C193" s="11"/>
    </row>
    <row r="194" spans="3:3" x14ac:dyDescent="0.25">
      <c r="C194" s="11"/>
    </row>
    <row r="195" spans="3:3" x14ac:dyDescent="0.25">
      <c r="C195" s="11"/>
    </row>
    <row r="196" spans="3:3" x14ac:dyDescent="0.25">
      <c r="C196" s="11"/>
    </row>
    <row r="197" spans="3:3" x14ac:dyDescent="0.25">
      <c r="C197" s="11"/>
    </row>
    <row r="198" spans="3:3" x14ac:dyDescent="0.25">
      <c r="C198" s="11"/>
    </row>
    <row r="199" spans="3:3" x14ac:dyDescent="0.25">
      <c r="C199" s="11"/>
    </row>
    <row r="200" spans="3:3" x14ac:dyDescent="0.25">
      <c r="C200" s="11"/>
    </row>
    <row r="201" spans="3:3" x14ac:dyDescent="0.25">
      <c r="C201" s="11"/>
    </row>
    <row r="202" spans="3:3" x14ac:dyDescent="0.25">
      <c r="C202" s="11"/>
    </row>
    <row r="203" spans="3:3" x14ac:dyDescent="0.25">
      <c r="C203" s="11"/>
    </row>
    <row r="204" spans="3:3" x14ac:dyDescent="0.25">
      <c r="C204" s="11"/>
    </row>
    <row r="205" spans="3:3" x14ac:dyDescent="0.25">
      <c r="C205" s="11"/>
    </row>
    <row r="206" spans="3:3" x14ac:dyDescent="0.25">
      <c r="C206" s="11"/>
    </row>
    <row r="207" spans="3:3" x14ac:dyDescent="0.25">
      <c r="C207" s="11"/>
    </row>
    <row r="208" spans="3:3" x14ac:dyDescent="0.25">
      <c r="C208" s="11"/>
    </row>
    <row r="209" spans="3:3" x14ac:dyDescent="0.25">
      <c r="C209" s="11"/>
    </row>
    <row r="210" spans="3:3" x14ac:dyDescent="0.25">
      <c r="C210" s="11"/>
    </row>
    <row r="211" spans="3:3" x14ac:dyDescent="0.25">
      <c r="C211" s="11"/>
    </row>
    <row r="212" spans="3:3" x14ac:dyDescent="0.25">
      <c r="C212" s="11"/>
    </row>
    <row r="213" spans="3:3" x14ac:dyDescent="0.25">
      <c r="C213" s="11"/>
    </row>
    <row r="214" spans="3:3" x14ac:dyDescent="0.25">
      <c r="C214" s="11"/>
    </row>
    <row r="215" spans="3:3" x14ac:dyDescent="0.25">
      <c r="C215" s="11"/>
    </row>
    <row r="216" spans="3:3" x14ac:dyDescent="0.25">
      <c r="C216" s="11"/>
    </row>
    <row r="217" spans="3:3" x14ac:dyDescent="0.25">
      <c r="C217" s="11"/>
    </row>
    <row r="218" spans="3:3" x14ac:dyDescent="0.25">
      <c r="C218" s="11"/>
    </row>
    <row r="219" spans="3:3" x14ac:dyDescent="0.25">
      <c r="C219" s="11"/>
    </row>
    <row r="220" spans="3:3" x14ac:dyDescent="0.25">
      <c r="C220" s="11"/>
    </row>
    <row r="221" spans="3:3" x14ac:dyDescent="0.25">
      <c r="C221" s="11"/>
    </row>
    <row r="222" spans="3:3" x14ac:dyDescent="0.25">
      <c r="C222" s="11"/>
    </row>
    <row r="223" spans="3:3" x14ac:dyDescent="0.25">
      <c r="C223" s="11"/>
    </row>
    <row r="224" spans="3:3" x14ac:dyDescent="0.25">
      <c r="C224" s="11"/>
    </row>
    <row r="225" spans="3:3" x14ac:dyDescent="0.25">
      <c r="C225" s="11"/>
    </row>
    <row r="226" spans="3:3" x14ac:dyDescent="0.25">
      <c r="C226" s="11"/>
    </row>
    <row r="227" spans="3:3" x14ac:dyDescent="0.25">
      <c r="C227" s="11"/>
    </row>
    <row r="228" spans="3:3" x14ac:dyDescent="0.25">
      <c r="C228" s="11"/>
    </row>
    <row r="229" spans="3:3" x14ac:dyDescent="0.25">
      <c r="C229" s="11"/>
    </row>
    <row r="230" spans="3:3" x14ac:dyDescent="0.25">
      <c r="C230" s="11"/>
    </row>
    <row r="231" spans="3:3" x14ac:dyDescent="0.25">
      <c r="C231" s="11"/>
    </row>
    <row r="232" spans="3:3" x14ac:dyDescent="0.25">
      <c r="C232" s="11"/>
    </row>
    <row r="233" spans="3:3" x14ac:dyDescent="0.25">
      <c r="C233" s="11"/>
    </row>
    <row r="234" spans="3:3" x14ac:dyDescent="0.25">
      <c r="C234" s="11"/>
    </row>
    <row r="235" spans="3:3" x14ac:dyDescent="0.25">
      <c r="C235" s="11"/>
    </row>
    <row r="236" spans="3:3" x14ac:dyDescent="0.25">
      <c r="C236" s="11"/>
    </row>
    <row r="237" spans="3:3" x14ac:dyDescent="0.25">
      <c r="C237" s="11"/>
    </row>
    <row r="238" spans="3:3" x14ac:dyDescent="0.25">
      <c r="C238" s="11"/>
    </row>
    <row r="239" spans="3:3" x14ac:dyDescent="0.25">
      <c r="C239" s="11"/>
    </row>
    <row r="240" spans="3:3" x14ac:dyDescent="0.25">
      <c r="C240" s="11"/>
    </row>
    <row r="241" spans="3:3" x14ac:dyDescent="0.25">
      <c r="C241" s="11"/>
    </row>
    <row r="242" spans="3:3" x14ac:dyDescent="0.25">
      <c r="C242" s="11"/>
    </row>
    <row r="243" spans="3:3" x14ac:dyDescent="0.25">
      <c r="C243" s="11"/>
    </row>
    <row r="244" spans="3:3" x14ac:dyDescent="0.25">
      <c r="C244" s="11"/>
    </row>
    <row r="245" spans="3:3" x14ac:dyDescent="0.25">
      <c r="C245" s="11"/>
    </row>
    <row r="246" spans="3:3" x14ac:dyDescent="0.25">
      <c r="C246" s="11"/>
    </row>
    <row r="247" spans="3:3" x14ac:dyDescent="0.25">
      <c r="C247" s="11"/>
    </row>
    <row r="248" spans="3:3" x14ac:dyDescent="0.25">
      <c r="C248" s="11"/>
    </row>
    <row r="249" spans="3:3" x14ac:dyDescent="0.25">
      <c r="C249" s="11"/>
    </row>
    <row r="250" spans="3:3" x14ac:dyDescent="0.25">
      <c r="C250" s="11"/>
    </row>
    <row r="251" spans="3:3" x14ac:dyDescent="0.25">
      <c r="C251" s="11"/>
    </row>
    <row r="252" spans="3:3" x14ac:dyDescent="0.25">
      <c r="C252" s="11"/>
    </row>
    <row r="253" spans="3:3" x14ac:dyDescent="0.25">
      <c r="C253" s="11"/>
    </row>
    <row r="254" spans="3:3" x14ac:dyDescent="0.25">
      <c r="C254" s="11"/>
    </row>
    <row r="255" spans="3:3" x14ac:dyDescent="0.25">
      <c r="C255" s="11"/>
    </row>
    <row r="256" spans="3:3" x14ac:dyDescent="0.25">
      <c r="C256" s="11"/>
    </row>
    <row r="257" spans="3:3" x14ac:dyDescent="0.25">
      <c r="C257" s="11"/>
    </row>
    <row r="258" spans="3:3" x14ac:dyDescent="0.25">
      <c r="C258" s="11"/>
    </row>
    <row r="259" spans="3:3" x14ac:dyDescent="0.25">
      <c r="C259" s="11"/>
    </row>
    <row r="260" spans="3:3" x14ac:dyDescent="0.25">
      <c r="C260" s="11"/>
    </row>
    <row r="261" spans="3:3" x14ac:dyDescent="0.25">
      <c r="C261" s="11"/>
    </row>
    <row r="262" spans="3:3" x14ac:dyDescent="0.25">
      <c r="C262" s="11"/>
    </row>
    <row r="263" spans="3:3" x14ac:dyDescent="0.25">
      <c r="C263" s="11"/>
    </row>
    <row r="264" spans="3:3" x14ac:dyDescent="0.25">
      <c r="C264" s="11"/>
    </row>
    <row r="265" spans="3:3" x14ac:dyDescent="0.25">
      <c r="C265" s="11"/>
    </row>
    <row r="266" spans="3:3" x14ac:dyDescent="0.25">
      <c r="C266" s="11"/>
    </row>
    <row r="267" spans="3:3" x14ac:dyDescent="0.25">
      <c r="C267" s="11"/>
    </row>
    <row r="268" spans="3:3" x14ac:dyDescent="0.25">
      <c r="C268" s="11"/>
    </row>
    <row r="269" spans="3:3" x14ac:dyDescent="0.25">
      <c r="C269" s="11"/>
    </row>
    <row r="270" spans="3:3" x14ac:dyDescent="0.25">
      <c r="C270" s="11"/>
    </row>
    <row r="271" spans="3:3" x14ac:dyDescent="0.25">
      <c r="C271" s="11"/>
    </row>
    <row r="272" spans="3:3" x14ac:dyDescent="0.25">
      <c r="C272" s="11"/>
    </row>
    <row r="273" spans="3:3" x14ac:dyDescent="0.25">
      <c r="C273" s="11"/>
    </row>
    <row r="274" spans="3:3" x14ac:dyDescent="0.25">
      <c r="C274" s="11"/>
    </row>
    <row r="275" spans="3:3" x14ac:dyDescent="0.25">
      <c r="C275" s="11"/>
    </row>
    <row r="276" spans="3:3" x14ac:dyDescent="0.25">
      <c r="C276" s="11"/>
    </row>
    <row r="277" spans="3:3" x14ac:dyDescent="0.25">
      <c r="C277" s="11"/>
    </row>
    <row r="278" spans="3:3" x14ac:dyDescent="0.25">
      <c r="C278" s="11"/>
    </row>
    <row r="279" spans="3:3" x14ac:dyDescent="0.25">
      <c r="C279" s="11"/>
    </row>
    <row r="280" spans="3:3" x14ac:dyDescent="0.25">
      <c r="C280" s="11"/>
    </row>
    <row r="281" spans="3:3" x14ac:dyDescent="0.25">
      <c r="C281" s="11"/>
    </row>
    <row r="282" spans="3:3" x14ac:dyDescent="0.25">
      <c r="C282" s="11"/>
    </row>
    <row r="283" spans="3:3" x14ac:dyDescent="0.25">
      <c r="C283" s="11"/>
    </row>
    <row r="284" spans="3:3" x14ac:dyDescent="0.25">
      <c r="C284" s="11"/>
    </row>
    <row r="285" spans="3:3" x14ac:dyDescent="0.25">
      <c r="C285" s="11"/>
    </row>
    <row r="286" spans="3:3" x14ac:dyDescent="0.25">
      <c r="C286" s="11"/>
    </row>
    <row r="287" spans="3:3" x14ac:dyDescent="0.25">
      <c r="C287" s="11"/>
    </row>
    <row r="288" spans="3:3" x14ac:dyDescent="0.25">
      <c r="C288" s="11"/>
    </row>
    <row r="289" spans="3:3" x14ac:dyDescent="0.25">
      <c r="C289" s="11"/>
    </row>
    <row r="290" spans="3:3" x14ac:dyDescent="0.25">
      <c r="C290" s="11"/>
    </row>
    <row r="291" spans="3:3" x14ac:dyDescent="0.25">
      <c r="C291" s="11"/>
    </row>
    <row r="292" spans="3:3" x14ac:dyDescent="0.25">
      <c r="C292" s="11"/>
    </row>
    <row r="293" spans="3:3" x14ac:dyDescent="0.25">
      <c r="C293" s="11"/>
    </row>
    <row r="294" spans="3:3" x14ac:dyDescent="0.25">
      <c r="C294" s="11"/>
    </row>
    <row r="295" spans="3:3" x14ac:dyDescent="0.25">
      <c r="C295" s="11"/>
    </row>
    <row r="296" spans="3:3" x14ac:dyDescent="0.25">
      <c r="C296" s="11"/>
    </row>
    <row r="297" spans="3:3" x14ac:dyDescent="0.25">
      <c r="C297" s="11"/>
    </row>
    <row r="298" spans="3:3" x14ac:dyDescent="0.25">
      <c r="C298" s="11"/>
    </row>
    <row r="299" spans="3:3" x14ac:dyDescent="0.25">
      <c r="C299" s="11"/>
    </row>
    <row r="300" spans="3:3" x14ac:dyDescent="0.25">
      <c r="C300" s="11"/>
    </row>
    <row r="301" spans="3:3" x14ac:dyDescent="0.25">
      <c r="C301" s="11"/>
    </row>
    <row r="302" spans="3:3" x14ac:dyDescent="0.25">
      <c r="C302" s="11"/>
    </row>
    <row r="303" spans="3:3" x14ac:dyDescent="0.25">
      <c r="C303" s="11"/>
    </row>
    <row r="304" spans="3:3" x14ac:dyDescent="0.25">
      <c r="C304" s="11"/>
    </row>
    <row r="305" spans="3:3" x14ac:dyDescent="0.25">
      <c r="C305" s="11"/>
    </row>
    <row r="306" spans="3:3" x14ac:dyDescent="0.25">
      <c r="C306" s="11"/>
    </row>
    <row r="307" spans="3:3" x14ac:dyDescent="0.25">
      <c r="C307" s="11"/>
    </row>
    <row r="308" spans="3:3" x14ac:dyDescent="0.25">
      <c r="C308" s="11"/>
    </row>
    <row r="309" spans="3:3" x14ac:dyDescent="0.25">
      <c r="C309" s="11"/>
    </row>
    <row r="310" spans="3:3" x14ac:dyDescent="0.25">
      <c r="C310" s="11"/>
    </row>
    <row r="311" spans="3:3" x14ac:dyDescent="0.25">
      <c r="C311" s="11"/>
    </row>
    <row r="312" spans="3:3" x14ac:dyDescent="0.25">
      <c r="C312" s="11"/>
    </row>
    <row r="313" spans="3:3" x14ac:dyDescent="0.25">
      <c r="C313" s="11"/>
    </row>
    <row r="314" spans="3:3" x14ac:dyDescent="0.25">
      <c r="C314" s="11"/>
    </row>
    <row r="315" spans="3:3" x14ac:dyDescent="0.25">
      <c r="C315" s="11"/>
    </row>
    <row r="316" spans="3:3" x14ac:dyDescent="0.25">
      <c r="C316" s="11"/>
    </row>
    <row r="317" spans="3:3" x14ac:dyDescent="0.25">
      <c r="C317" s="11"/>
    </row>
    <row r="318" spans="3:3" x14ac:dyDescent="0.25">
      <c r="C318" s="11"/>
    </row>
    <row r="319" spans="3:3" x14ac:dyDescent="0.25">
      <c r="C319" s="11"/>
    </row>
    <row r="320" spans="3:3" x14ac:dyDescent="0.25">
      <c r="C320" s="11"/>
    </row>
    <row r="321" spans="3:3" x14ac:dyDescent="0.25">
      <c r="C321" s="11"/>
    </row>
    <row r="322" spans="3:3" x14ac:dyDescent="0.25">
      <c r="C322" s="11"/>
    </row>
    <row r="323" spans="3:3" x14ac:dyDescent="0.25">
      <c r="C323" s="11"/>
    </row>
    <row r="324" spans="3:3" x14ac:dyDescent="0.25">
      <c r="C324" s="11"/>
    </row>
    <row r="325" spans="3:3" x14ac:dyDescent="0.25">
      <c r="C325" s="11"/>
    </row>
    <row r="326" spans="3:3" x14ac:dyDescent="0.25">
      <c r="C326" s="11"/>
    </row>
    <row r="327" spans="3:3" x14ac:dyDescent="0.25">
      <c r="C327" s="11"/>
    </row>
    <row r="328" spans="3:3" x14ac:dyDescent="0.25">
      <c r="C328" s="11"/>
    </row>
    <row r="329" spans="3:3" x14ac:dyDescent="0.25">
      <c r="C329" s="11"/>
    </row>
    <row r="330" spans="3:3" x14ac:dyDescent="0.25">
      <c r="C330" s="11"/>
    </row>
    <row r="331" spans="3:3" x14ac:dyDescent="0.25">
      <c r="C331" s="11"/>
    </row>
    <row r="332" spans="3:3" x14ac:dyDescent="0.25">
      <c r="C332" s="11"/>
    </row>
    <row r="333" spans="3:3" x14ac:dyDescent="0.25">
      <c r="C333" s="11"/>
    </row>
    <row r="334" spans="3:3" x14ac:dyDescent="0.25">
      <c r="C334" s="11"/>
    </row>
    <row r="335" spans="3:3" x14ac:dyDescent="0.25">
      <c r="C335" s="11"/>
    </row>
    <row r="336" spans="3:3" x14ac:dyDescent="0.25">
      <c r="C336" s="11"/>
    </row>
    <row r="337" spans="3:3" x14ac:dyDescent="0.25">
      <c r="C337" s="11"/>
    </row>
    <row r="338" spans="3:3" x14ac:dyDescent="0.25">
      <c r="C338" s="11"/>
    </row>
    <row r="339" spans="3:3" x14ac:dyDescent="0.25">
      <c r="C339" s="11"/>
    </row>
    <row r="340" spans="3:3" x14ac:dyDescent="0.25">
      <c r="C340" s="11"/>
    </row>
    <row r="341" spans="3:3" x14ac:dyDescent="0.25">
      <c r="C341" s="11"/>
    </row>
    <row r="342" spans="3:3" x14ac:dyDescent="0.25">
      <c r="C342" s="11"/>
    </row>
    <row r="343" spans="3:3" x14ac:dyDescent="0.25">
      <c r="C343" s="11"/>
    </row>
    <row r="344" spans="3:3" x14ac:dyDescent="0.25">
      <c r="C344" s="11"/>
    </row>
    <row r="345" spans="3:3" x14ac:dyDescent="0.25">
      <c r="C345" s="11"/>
    </row>
    <row r="346" spans="3:3" x14ac:dyDescent="0.25">
      <c r="C346" s="11"/>
    </row>
    <row r="347" spans="3:3" x14ac:dyDescent="0.25">
      <c r="C347" s="11"/>
    </row>
    <row r="348" spans="3:3" x14ac:dyDescent="0.25">
      <c r="C348" s="11"/>
    </row>
    <row r="349" spans="3:3" x14ac:dyDescent="0.25">
      <c r="C349" s="11"/>
    </row>
    <row r="350" spans="3:3" x14ac:dyDescent="0.25">
      <c r="C350" s="11"/>
    </row>
    <row r="351" spans="3:3" x14ac:dyDescent="0.25">
      <c r="C351" s="11"/>
    </row>
    <row r="352" spans="3:3" x14ac:dyDescent="0.25">
      <c r="C352" s="11"/>
    </row>
    <row r="353" spans="3:3" x14ac:dyDescent="0.25">
      <c r="C353" s="11"/>
    </row>
    <row r="354" spans="3:3" x14ac:dyDescent="0.25">
      <c r="C354" s="11"/>
    </row>
    <row r="355" spans="3:3" x14ac:dyDescent="0.25">
      <c r="C355" s="11"/>
    </row>
    <row r="356" spans="3:3" x14ac:dyDescent="0.25">
      <c r="C356" s="11"/>
    </row>
    <row r="357" spans="3:3" x14ac:dyDescent="0.25">
      <c r="C357" s="11"/>
    </row>
    <row r="358" spans="3:3" x14ac:dyDescent="0.25">
      <c r="C358" s="11"/>
    </row>
    <row r="359" spans="3:3" x14ac:dyDescent="0.25">
      <c r="C359" s="11"/>
    </row>
    <row r="360" spans="3:3" x14ac:dyDescent="0.25">
      <c r="C360" s="11"/>
    </row>
    <row r="361" spans="3:3" x14ac:dyDescent="0.25">
      <c r="C361" s="11"/>
    </row>
    <row r="362" spans="3:3" x14ac:dyDescent="0.25">
      <c r="C362" s="11"/>
    </row>
    <row r="363" spans="3:3" x14ac:dyDescent="0.25">
      <c r="C363" s="11"/>
    </row>
    <row r="364" spans="3:3" x14ac:dyDescent="0.25">
      <c r="C364" s="11"/>
    </row>
    <row r="365" spans="3:3" x14ac:dyDescent="0.25">
      <c r="C365" s="11"/>
    </row>
    <row r="366" spans="3:3" x14ac:dyDescent="0.25">
      <c r="C366" s="11"/>
    </row>
    <row r="367" spans="3:3" x14ac:dyDescent="0.25">
      <c r="C367" s="11"/>
    </row>
    <row r="368" spans="3:3" x14ac:dyDescent="0.25">
      <c r="C368" s="11"/>
    </row>
    <row r="369" spans="3:3" x14ac:dyDescent="0.25">
      <c r="C369" s="11"/>
    </row>
    <row r="370" spans="3:3" x14ac:dyDescent="0.25">
      <c r="C370" s="11"/>
    </row>
    <row r="371" spans="3:3" x14ac:dyDescent="0.25">
      <c r="C371" s="11"/>
    </row>
    <row r="372" spans="3:3" x14ac:dyDescent="0.25">
      <c r="C372" s="11"/>
    </row>
    <row r="373" spans="3:3" x14ac:dyDescent="0.25">
      <c r="C373" s="11"/>
    </row>
    <row r="374" spans="3:3" x14ac:dyDescent="0.25">
      <c r="C374" s="11"/>
    </row>
    <row r="375" spans="3:3" x14ac:dyDescent="0.25">
      <c r="C375" s="11"/>
    </row>
    <row r="376" spans="3:3" x14ac:dyDescent="0.25">
      <c r="C376" s="11"/>
    </row>
    <row r="377" spans="3:3" x14ac:dyDescent="0.25">
      <c r="C377" s="11"/>
    </row>
    <row r="378" spans="3:3" x14ac:dyDescent="0.25">
      <c r="C378" s="11"/>
    </row>
    <row r="379" spans="3:3" x14ac:dyDescent="0.25">
      <c r="C379" s="11"/>
    </row>
    <row r="380" spans="3:3" x14ac:dyDescent="0.25">
      <c r="C380" s="11"/>
    </row>
    <row r="381" spans="3:3" x14ac:dyDescent="0.25">
      <c r="C381" s="11"/>
    </row>
    <row r="382" spans="3:3" x14ac:dyDescent="0.25">
      <c r="C382" s="11"/>
    </row>
    <row r="383" spans="3:3" x14ac:dyDescent="0.25">
      <c r="C383" s="11"/>
    </row>
    <row r="384" spans="3:3" x14ac:dyDescent="0.25">
      <c r="C384" s="11"/>
    </row>
    <row r="385" spans="3:3" x14ac:dyDescent="0.25">
      <c r="C385" s="11"/>
    </row>
    <row r="386" spans="3:3" x14ac:dyDescent="0.25">
      <c r="C386" s="11"/>
    </row>
    <row r="387" spans="3:3" x14ac:dyDescent="0.25">
      <c r="C387" s="11"/>
    </row>
    <row r="388" spans="3:3" x14ac:dyDescent="0.25">
      <c r="C388" s="11"/>
    </row>
    <row r="389" spans="3:3" x14ac:dyDescent="0.25">
      <c r="C389" s="11"/>
    </row>
    <row r="390" spans="3:3" x14ac:dyDescent="0.25">
      <c r="C390" s="11"/>
    </row>
    <row r="391" spans="3:3" x14ac:dyDescent="0.25">
      <c r="C391" s="11"/>
    </row>
    <row r="392" spans="3:3" x14ac:dyDescent="0.25">
      <c r="C392" s="11"/>
    </row>
    <row r="393" spans="3:3" x14ac:dyDescent="0.25">
      <c r="C393" s="11"/>
    </row>
    <row r="394" spans="3:3" x14ac:dyDescent="0.25">
      <c r="C394" s="11"/>
    </row>
    <row r="395" spans="3:3" x14ac:dyDescent="0.25">
      <c r="C395" s="11"/>
    </row>
    <row r="396" spans="3:3" x14ac:dyDescent="0.25">
      <c r="C396" s="11"/>
    </row>
    <row r="397" spans="3:3" x14ac:dyDescent="0.25">
      <c r="C397" s="11"/>
    </row>
    <row r="398" spans="3:3" x14ac:dyDescent="0.25">
      <c r="C398" s="11"/>
    </row>
    <row r="399" spans="3:3" x14ac:dyDescent="0.25">
      <c r="C399" s="11"/>
    </row>
    <row r="400" spans="3:3" x14ac:dyDescent="0.25">
      <c r="C400" s="11"/>
    </row>
    <row r="401" spans="3:3" x14ac:dyDescent="0.25">
      <c r="C401" s="11"/>
    </row>
    <row r="402" spans="3:3" x14ac:dyDescent="0.25">
      <c r="C402" s="11"/>
    </row>
    <row r="403" spans="3:3" x14ac:dyDescent="0.25">
      <c r="C403" s="11"/>
    </row>
    <row r="404" spans="3:3" x14ac:dyDescent="0.25">
      <c r="C404" s="11"/>
    </row>
    <row r="405" spans="3:3" x14ac:dyDescent="0.25">
      <c r="C405" s="11"/>
    </row>
    <row r="406" spans="3:3" x14ac:dyDescent="0.25">
      <c r="C406" s="11"/>
    </row>
    <row r="407" spans="3:3" x14ac:dyDescent="0.25">
      <c r="C407" s="11"/>
    </row>
    <row r="408" spans="3:3" x14ac:dyDescent="0.25">
      <c r="C408" s="11"/>
    </row>
    <row r="409" spans="3:3" x14ac:dyDescent="0.25">
      <c r="C409" s="11"/>
    </row>
    <row r="410" spans="3:3" x14ac:dyDescent="0.25">
      <c r="C410" s="11"/>
    </row>
    <row r="411" spans="3:3" x14ac:dyDescent="0.25">
      <c r="C411" s="11"/>
    </row>
    <row r="412" spans="3:3" x14ac:dyDescent="0.25">
      <c r="C412" s="11"/>
    </row>
    <row r="413" spans="3:3" x14ac:dyDescent="0.25">
      <c r="C413" s="11"/>
    </row>
    <row r="414" spans="3:3" x14ac:dyDescent="0.25">
      <c r="C414" s="11"/>
    </row>
    <row r="415" spans="3:3" x14ac:dyDescent="0.25">
      <c r="C415" s="11"/>
    </row>
    <row r="416" spans="3:3" x14ac:dyDescent="0.25">
      <c r="C416" s="11"/>
    </row>
    <row r="417" spans="3:3" x14ac:dyDescent="0.25">
      <c r="C417" s="11"/>
    </row>
    <row r="418" spans="3:3" x14ac:dyDescent="0.25">
      <c r="C418" s="11"/>
    </row>
    <row r="419" spans="3:3" x14ac:dyDescent="0.25">
      <c r="C419" s="11"/>
    </row>
    <row r="420" spans="3:3" x14ac:dyDescent="0.25">
      <c r="C420" s="11"/>
    </row>
    <row r="421" spans="3:3" x14ac:dyDescent="0.25">
      <c r="C421" s="11"/>
    </row>
    <row r="422" spans="3:3" x14ac:dyDescent="0.25">
      <c r="C422" s="11"/>
    </row>
    <row r="423" spans="3:3" x14ac:dyDescent="0.25">
      <c r="C423" s="11"/>
    </row>
    <row r="424" spans="3:3" x14ac:dyDescent="0.25">
      <c r="C424" s="11"/>
    </row>
    <row r="425" spans="3:3" x14ac:dyDescent="0.25">
      <c r="C425" s="11"/>
    </row>
    <row r="426" spans="3:3" x14ac:dyDescent="0.25">
      <c r="C426" s="11"/>
    </row>
    <row r="427" spans="3:3" x14ac:dyDescent="0.25">
      <c r="C427" s="11"/>
    </row>
    <row r="428" spans="3:3" x14ac:dyDescent="0.25">
      <c r="C428" s="11"/>
    </row>
    <row r="429" spans="3:3" x14ac:dyDescent="0.25">
      <c r="C429" s="11"/>
    </row>
    <row r="430" spans="3:3" x14ac:dyDescent="0.25">
      <c r="C430" s="11"/>
    </row>
    <row r="431" spans="3:3" x14ac:dyDescent="0.25">
      <c r="C431" s="11"/>
    </row>
    <row r="432" spans="3:3" x14ac:dyDescent="0.25">
      <c r="C432" s="11"/>
    </row>
    <row r="433" spans="3:3" x14ac:dyDescent="0.25">
      <c r="C433" s="11"/>
    </row>
    <row r="434" spans="3:3" x14ac:dyDescent="0.25">
      <c r="C434" s="11"/>
    </row>
    <row r="435" spans="3:3" x14ac:dyDescent="0.25">
      <c r="C435" s="11"/>
    </row>
    <row r="436" spans="3:3" x14ac:dyDescent="0.25">
      <c r="C436" s="11"/>
    </row>
    <row r="437" spans="3:3" x14ac:dyDescent="0.25">
      <c r="C437" s="11"/>
    </row>
    <row r="438" spans="3:3" x14ac:dyDescent="0.25">
      <c r="C438" s="11"/>
    </row>
    <row r="439" spans="3:3" x14ac:dyDescent="0.25">
      <c r="C439" s="11"/>
    </row>
    <row r="440" spans="3:3" x14ac:dyDescent="0.25">
      <c r="C440" s="11"/>
    </row>
    <row r="441" spans="3:3" x14ac:dyDescent="0.25">
      <c r="C441" s="11"/>
    </row>
    <row r="442" spans="3:3" x14ac:dyDescent="0.25">
      <c r="C442" s="11"/>
    </row>
    <row r="443" spans="3:3" x14ac:dyDescent="0.25">
      <c r="C443" s="11"/>
    </row>
    <row r="444" spans="3:3" x14ac:dyDescent="0.25">
      <c r="C444" s="11"/>
    </row>
    <row r="445" spans="3:3" x14ac:dyDescent="0.25">
      <c r="C445" s="11"/>
    </row>
    <row r="446" spans="3:3" x14ac:dyDescent="0.25">
      <c r="C446" s="11"/>
    </row>
    <row r="447" spans="3:3" x14ac:dyDescent="0.25">
      <c r="C447" s="11"/>
    </row>
    <row r="448" spans="3:3" x14ac:dyDescent="0.25">
      <c r="C448" s="11"/>
    </row>
    <row r="449" spans="3:3" x14ac:dyDescent="0.25">
      <c r="C449" s="11"/>
    </row>
    <row r="450" spans="3:3" x14ac:dyDescent="0.25">
      <c r="C450" s="11"/>
    </row>
    <row r="451" spans="3:3" x14ac:dyDescent="0.25">
      <c r="C451" s="11"/>
    </row>
    <row r="452" spans="3:3" x14ac:dyDescent="0.25">
      <c r="C452" s="11"/>
    </row>
    <row r="453" spans="3:3" x14ac:dyDescent="0.25">
      <c r="C453" s="11"/>
    </row>
    <row r="454" spans="3:3" x14ac:dyDescent="0.25">
      <c r="C454" s="11"/>
    </row>
    <row r="455" spans="3:3" x14ac:dyDescent="0.25">
      <c r="C455" s="11"/>
    </row>
    <row r="456" spans="3:3" x14ac:dyDescent="0.25">
      <c r="C456" s="11"/>
    </row>
    <row r="457" spans="3:3" x14ac:dyDescent="0.25">
      <c r="C457" s="11"/>
    </row>
    <row r="458" spans="3:3" x14ac:dyDescent="0.25">
      <c r="C458" s="11"/>
    </row>
    <row r="459" spans="3:3" x14ac:dyDescent="0.25">
      <c r="C459" s="11"/>
    </row>
    <row r="460" spans="3:3" x14ac:dyDescent="0.25">
      <c r="C460" s="11"/>
    </row>
    <row r="461" spans="3:3" x14ac:dyDescent="0.25">
      <c r="C461" s="11"/>
    </row>
    <row r="462" spans="3:3" x14ac:dyDescent="0.25">
      <c r="C462" s="11"/>
    </row>
    <row r="463" spans="3:3" x14ac:dyDescent="0.25">
      <c r="C463" s="11"/>
    </row>
    <row r="464" spans="3:3" x14ac:dyDescent="0.25">
      <c r="C464" s="11"/>
    </row>
    <row r="465" spans="3:3" x14ac:dyDescent="0.25">
      <c r="C465" s="11"/>
    </row>
    <row r="466" spans="3:3" x14ac:dyDescent="0.25">
      <c r="C466" s="11"/>
    </row>
    <row r="467" spans="3:3" x14ac:dyDescent="0.25">
      <c r="C467" s="11"/>
    </row>
    <row r="468" spans="3:3" x14ac:dyDescent="0.25">
      <c r="C468" s="11"/>
    </row>
    <row r="469" spans="3:3" x14ac:dyDescent="0.25">
      <c r="C469" s="11"/>
    </row>
    <row r="470" spans="3:3" x14ac:dyDescent="0.25">
      <c r="C470" s="11"/>
    </row>
    <row r="471" spans="3:3" x14ac:dyDescent="0.25">
      <c r="C471" s="11"/>
    </row>
    <row r="472" spans="3:3" x14ac:dyDescent="0.25">
      <c r="C472" s="11"/>
    </row>
    <row r="473" spans="3:3" x14ac:dyDescent="0.25">
      <c r="C473" s="11"/>
    </row>
    <row r="474" spans="3:3" x14ac:dyDescent="0.25">
      <c r="C474" s="11"/>
    </row>
    <row r="475" spans="3:3" x14ac:dyDescent="0.25">
      <c r="C475" s="11"/>
    </row>
    <row r="476" spans="3:3" x14ac:dyDescent="0.25">
      <c r="C476" s="11"/>
    </row>
    <row r="477" spans="3:3" x14ac:dyDescent="0.25">
      <c r="C477" s="11"/>
    </row>
    <row r="478" spans="3:3" x14ac:dyDescent="0.25">
      <c r="C478" s="11"/>
    </row>
    <row r="479" spans="3:3" x14ac:dyDescent="0.25">
      <c r="C479" s="11"/>
    </row>
    <row r="480" spans="3:3" x14ac:dyDescent="0.25">
      <c r="C480" s="11"/>
    </row>
    <row r="481" spans="3:3" x14ac:dyDescent="0.25">
      <c r="C481" s="11"/>
    </row>
    <row r="482" spans="3:3" x14ac:dyDescent="0.25">
      <c r="C482" s="11"/>
    </row>
    <row r="483" spans="3:3" x14ac:dyDescent="0.25">
      <c r="C483" s="11"/>
    </row>
    <row r="484" spans="3:3" x14ac:dyDescent="0.25">
      <c r="C484" s="11"/>
    </row>
    <row r="485" spans="3:3" x14ac:dyDescent="0.25">
      <c r="C485" s="11"/>
    </row>
    <row r="486" spans="3:3" x14ac:dyDescent="0.25">
      <c r="C486" s="11"/>
    </row>
    <row r="487" spans="3:3" x14ac:dyDescent="0.25">
      <c r="C487" s="11"/>
    </row>
    <row r="488" spans="3:3" x14ac:dyDescent="0.25">
      <c r="C488" s="11"/>
    </row>
    <row r="489" spans="3:3" x14ac:dyDescent="0.25">
      <c r="C489" s="11"/>
    </row>
    <row r="490" spans="3:3" x14ac:dyDescent="0.25">
      <c r="C490" s="11"/>
    </row>
    <row r="491" spans="3:3" x14ac:dyDescent="0.25">
      <c r="C491" s="11"/>
    </row>
    <row r="492" spans="3:3" x14ac:dyDescent="0.25">
      <c r="C492" s="11"/>
    </row>
    <row r="493" spans="3:3" x14ac:dyDescent="0.25">
      <c r="C493" s="11"/>
    </row>
    <row r="494" spans="3:3" x14ac:dyDescent="0.25">
      <c r="C494" s="11"/>
    </row>
    <row r="495" spans="3:3" x14ac:dyDescent="0.25">
      <c r="C495" s="11"/>
    </row>
    <row r="496" spans="3:3" x14ac:dyDescent="0.25">
      <c r="C496" s="11"/>
    </row>
    <row r="497" spans="3:3" x14ac:dyDescent="0.25">
      <c r="C497" s="11"/>
    </row>
    <row r="498" spans="3:3" x14ac:dyDescent="0.25">
      <c r="C498" s="11"/>
    </row>
    <row r="499" spans="3:3" x14ac:dyDescent="0.25">
      <c r="C499" s="11"/>
    </row>
    <row r="500" spans="3:3" x14ac:dyDescent="0.25">
      <c r="C500" s="11"/>
    </row>
    <row r="501" spans="3:3" x14ac:dyDescent="0.25">
      <c r="C501" s="11"/>
    </row>
    <row r="502" spans="3:3" x14ac:dyDescent="0.25">
      <c r="C502" s="11"/>
    </row>
    <row r="503" spans="3:3" x14ac:dyDescent="0.25">
      <c r="C503" s="11"/>
    </row>
    <row r="504" spans="3:3" x14ac:dyDescent="0.25">
      <c r="C504" s="11"/>
    </row>
    <row r="505" spans="3:3" x14ac:dyDescent="0.25">
      <c r="C505" s="11"/>
    </row>
    <row r="506" spans="3:3" x14ac:dyDescent="0.25">
      <c r="C506" s="11"/>
    </row>
    <row r="507" spans="3:3" x14ac:dyDescent="0.25">
      <c r="C507" s="11"/>
    </row>
    <row r="508" spans="3:3" x14ac:dyDescent="0.25">
      <c r="C508" s="11"/>
    </row>
    <row r="509" spans="3:3" x14ac:dyDescent="0.25">
      <c r="C509" s="11"/>
    </row>
    <row r="510" spans="3:3" x14ac:dyDescent="0.25">
      <c r="C510" s="11"/>
    </row>
    <row r="511" spans="3:3" x14ac:dyDescent="0.25">
      <c r="C511" s="11"/>
    </row>
    <row r="512" spans="3:3" x14ac:dyDescent="0.25">
      <c r="C512" s="11"/>
    </row>
    <row r="513" spans="3:3" x14ac:dyDescent="0.25">
      <c r="C513" s="11"/>
    </row>
    <row r="514" spans="3:3" x14ac:dyDescent="0.25">
      <c r="C514" s="11"/>
    </row>
    <row r="515" spans="3:3" x14ac:dyDescent="0.25">
      <c r="C515" s="11"/>
    </row>
    <row r="516" spans="3:3" x14ac:dyDescent="0.25">
      <c r="C516" s="11"/>
    </row>
    <row r="517" spans="3:3" x14ac:dyDescent="0.25">
      <c r="C517" s="11"/>
    </row>
    <row r="518" spans="3:3" x14ac:dyDescent="0.25">
      <c r="C518" s="11"/>
    </row>
    <row r="519" spans="3:3" x14ac:dyDescent="0.25">
      <c r="C519" s="11"/>
    </row>
    <row r="520" spans="3:3" x14ac:dyDescent="0.25">
      <c r="C520" s="11"/>
    </row>
    <row r="521" spans="3:3" x14ac:dyDescent="0.25">
      <c r="C521" s="11"/>
    </row>
    <row r="522" spans="3:3" x14ac:dyDescent="0.25">
      <c r="C522" s="11"/>
    </row>
    <row r="523" spans="3:3" x14ac:dyDescent="0.25">
      <c r="C523" s="11"/>
    </row>
    <row r="524" spans="3:3" x14ac:dyDescent="0.25">
      <c r="C524" s="11"/>
    </row>
    <row r="525" spans="3:3" x14ac:dyDescent="0.25">
      <c r="C525" s="11"/>
    </row>
    <row r="526" spans="3:3" x14ac:dyDescent="0.25">
      <c r="C526" s="11"/>
    </row>
    <row r="527" spans="3:3" x14ac:dyDescent="0.25">
      <c r="C527" s="11"/>
    </row>
    <row r="528" spans="3:3" x14ac:dyDescent="0.25">
      <c r="C528" s="11"/>
    </row>
    <row r="529" spans="3:3" x14ac:dyDescent="0.25">
      <c r="C529" s="11"/>
    </row>
    <row r="530" spans="3:3" x14ac:dyDescent="0.25">
      <c r="C530" s="11"/>
    </row>
    <row r="531" spans="3:3" x14ac:dyDescent="0.25">
      <c r="C531" s="11"/>
    </row>
    <row r="532" spans="3:3" x14ac:dyDescent="0.25">
      <c r="C532" s="11"/>
    </row>
    <row r="533" spans="3:3" x14ac:dyDescent="0.25">
      <c r="C533" s="11"/>
    </row>
    <row r="534" spans="3:3" x14ac:dyDescent="0.25">
      <c r="C534" s="11"/>
    </row>
    <row r="535" spans="3:3" x14ac:dyDescent="0.25">
      <c r="C535" s="11"/>
    </row>
    <row r="536" spans="3:3" x14ac:dyDescent="0.25">
      <c r="C536" s="11"/>
    </row>
    <row r="537" spans="3:3" x14ac:dyDescent="0.25">
      <c r="C537" s="11"/>
    </row>
    <row r="538" spans="3:3" x14ac:dyDescent="0.25">
      <c r="C538" s="11"/>
    </row>
    <row r="539" spans="3:3" x14ac:dyDescent="0.25">
      <c r="C539" s="11"/>
    </row>
    <row r="540" spans="3:3" x14ac:dyDescent="0.25">
      <c r="C540" s="11"/>
    </row>
    <row r="541" spans="3:3" x14ac:dyDescent="0.25">
      <c r="C541" s="11"/>
    </row>
    <row r="542" spans="3:3" x14ac:dyDescent="0.25">
      <c r="C542" s="11"/>
    </row>
    <row r="543" spans="3:3" x14ac:dyDescent="0.25">
      <c r="C543" s="11"/>
    </row>
    <row r="544" spans="3:3" x14ac:dyDescent="0.25">
      <c r="C544" s="11"/>
    </row>
    <row r="545" spans="3:3" x14ac:dyDescent="0.25">
      <c r="C545" s="11"/>
    </row>
    <row r="546" spans="3:3" x14ac:dyDescent="0.25">
      <c r="C546" s="11"/>
    </row>
    <row r="547" spans="3:3" x14ac:dyDescent="0.25">
      <c r="C547" s="11"/>
    </row>
    <row r="548" spans="3:3" x14ac:dyDescent="0.25">
      <c r="C548" s="11"/>
    </row>
    <row r="549" spans="3:3" x14ac:dyDescent="0.25">
      <c r="C549" s="11"/>
    </row>
    <row r="550" spans="3:3" x14ac:dyDescent="0.25">
      <c r="C550" s="11"/>
    </row>
    <row r="551" spans="3:3" x14ac:dyDescent="0.25">
      <c r="C551" s="11"/>
    </row>
    <row r="552" spans="3:3" x14ac:dyDescent="0.25">
      <c r="C552" s="11"/>
    </row>
    <row r="553" spans="3:3" x14ac:dyDescent="0.25">
      <c r="C553" s="11"/>
    </row>
    <row r="554" spans="3:3" x14ac:dyDescent="0.25">
      <c r="C554" s="11"/>
    </row>
    <row r="555" spans="3:3" x14ac:dyDescent="0.25">
      <c r="C555" s="11"/>
    </row>
    <row r="556" spans="3:3" x14ac:dyDescent="0.25">
      <c r="C556" s="11"/>
    </row>
    <row r="557" spans="3:3" x14ac:dyDescent="0.25">
      <c r="C557" s="11"/>
    </row>
    <row r="558" spans="3:3" x14ac:dyDescent="0.25">
      <c r="C558" s="11"/>
    </row>
    <row r="559" spans="3:3" x14ac:dyDescent="0.25">
      <c r="C559" s="11"/>
    </row>
    <row r="560" spans="3:3" x14ac:dyDescent="0.25">
      <c r="C560" s="11"/>
    </row>
    <row r="561" spans="3:3" x14ac:dyDescent="0.25">
      <c r="C561" s="11"/>
    </row>
    <row r="562" spans="3:3" x14ac:dyDescent="0.25">
      <c r="C562" s="11"/>
    </row>
    <row r="563" spans="3:3" x14ac:dyDescent="0.25">
      <c r="C563" s="11"/>
    </row>
    <row r="564" spans="3:3" x14ac:dyDescent="0.25">
      <c r="C564" s="11"/>
    </row>
    <row r="565" spans="3:3" x14ac:dyDescent="0.25">
      <c r="C565" s="11"/>
    </row>
    <row r="566" spans="3:3" x14ac:dyDescent="0.25">
      <c r="C566" s="11"/>
    </row>
    <row r="567" spans="3:3" x14ac:dyDescent="0.25">
      <c r="C567" s="11"/>
    </row>
    <row r="568" spans="3:3" x14ac:dyDescent="0.25">
      <c r="C568" s="11"/>
    </row>
    <row r="569" spans="3:3" x14ac:dyDescent="0.25">
      <c r="C569" s="11"/>
    </row>
    <row r="570" spans="3:3" x14ac:dyDescent="0.25">
      <c r="C570" s="11"/>
    </row>
    <row r="571" spans="3:3" x14ac:dyDescent="0.25">
      <c r="C571" s="11"/>
    </row>
    <row r="572" spans="3:3" x14ac:dyDescent="0.25">
      <c r="C572" s="11"/>
    </row>
    <row r="573" spans="3:3" x14ac:dyDescent="0.25">
      <c r="C573" s="11"/>
    </row>
    <row r="574" spans="3:3" x14ac:dyDescent="0.25">
      <c r="C574" s="11"/>
    </row>
    <row r="575" spans="3:3" x14ac:dyDescent="0.25">
      <c r="C575" s="11"/>
    </row>
    <row r="576" spans="3:3" x14ac:dyDescent="0.25">
      <c r="C576" s="11"/>
    </row>
    <row r="577" spans="3:3" x14ac:dyDescent="0.25">
      <c r="C577" s="11"/>
    </row>
    <row r="578" spans="3:3" x14ac:dyDescent="0.25">
      <c r="C578" s="11"/>
    </row>
    <row r="579" spans="3:3" x14ac:dyDescent="0.25">
      <c r="C579" s="11"/>
    </row>
    <row r="580" spans="3:3" x14ac:dyDescent="0.25">
      <c r="C580" s="11"/>
    </row>
    <row r="581" spans="3:3" x14ac:dyDescent="0.25">
      <c r="C581" s="11"/>
    </row>
    <row r="582" spans="3:3" x14ac:dyDescent="0.25">
      <c r="C582" s="11"/>
    </row>
    <row r="583" spans="3:3" x14ac:dyDescent="0.25">
      <c r="C583" s="11"/>
    </row>
    <row r="584" spans="3:3" x14ac:dyDescent="0.25">
      <c r="C584" s="11"/>
    </row>
    <row r="585" spans="3:3" x14ac:dyDescent="0.25">
      <c r="C585" s="11"/>
    </row>
    <row r="586" spans="3:3" x14ac:dyDescent="0.25">
      <c r="C586" s="11"/>
    </row>
    <row r="587" spans="3:3" x14ac:dyDescent="0.25">
      <c r="C587" s="11"/>
    </row>
    <row r="588" spans="3:3" x14ac:dyDescent="0.25">
      <c r="C588" s="11"/>
    </row>
    <row r="589" spans="3:3" x14ac:dyDescent="0.25">
      <c r="C589" s="11"/>
    </row>
    <row r="590" spans="3:3" x14ac:dyDescent="0.25">
      <c r="C590" s="11"/>
    </row>
    <row r="591" spans="3:3" x14ac:dyDescent="0.25">
      <c r="C591" s="11"/>
    </row>
    <row r="592" spans="3:3" x14ac:dyDescent="0.25">
      <c r="C592" s="11"/>
    </row>
    <row r="593" spans="3:3" x14ac:dyDescent="0.25">
      <c r="C593" s="11"/>
    </row>
    <row r="594" spans="3:3" x14ac:dyDescent="0.25">
      <c r="C594" s="11"/>
    </row>
    <row r="595" spans="3:3" x14ac:dyDescent="0.25">
      <c r="C595" s="11"/>
    </row>
    <row r="596" spans="3:3" x14ac:dyDescent="0.25">
      <c r="C596" s="11"/>
    </row>
    <row r="597" spans="3:3" x14ac:dyDescent="0.25">
      <c r="C597" s="11"/>
    </row>
    <row r="598" spans="3:3" x14ac:dyDescent="0.25">
      <c r="C598" s="11"/>
    </row>
    <row r="599" spans="3:3" x14ac:dyDescent="0.25">
      <c r="C599" s="11"/>
    </row>
    <row r="600" spans="3:3" x14ac:dyDescent="0.25">
      <c r="C600" s="11"/>
    </row>
    <row r="601" spans="3:3" x14ac:dyDescent="0.25">
      <c r="C601" s="11"/>
    </row>
    <row r="602" spans="3:3" x14ac:dyDescent="0.25">
      <c r="C602" s="11"/>
    </row>
    <row r="603" spans="3:3" x14ac:dyDescent="0.25">
      <c r="C603" s="11"/>
    </row>
    <row r="604" spans="3:3" x14ac:dyDescent="0.25">
      <c r="C604" s="11"/>
    </row>
    <row r="605" spans="3:3" x14ac:dyDescent="0.25">
      <c r="C605" s="11"/>
    </row>
    <row r="606" spans="3:3" x14ac:dyDescent="0.25">
      <c r="C606" s="11"/>
    </row>
    <row r="607" spans="3:3" x14ac:dyDescent="0.25">
      <c r="C607" s="11"/>
    </row>
    <row r="608" spans="3:3" x14ac:dyDescent="0.25">
      <c r="C608" s="11"/>
    </row>
    <row r="609" spans="3:3" x14ac:dyDescent="0.25">
      <c r="C609" s="11"/>
    </row>
    <row r="610" spans="3:3" x14ac:dyDescent="0.25">
      <c r="C610" s="11"/>
    </row>
    <row r="611" spans="3:3" x14ac:dyDescent="0.25">
      <c r="C611" s="11"/>
    </row>
    <row r="612" spans="3:3" x14ac:dyDescent="0.25">
      <c r="C612" s="11"/>
    </row>
    <row r="613" spans="3:3" x14ac:dyDescent="0.25">
      <c r="C613" s="11"/>
    </row>
    <row r="614" spans="3:3" x14ac:dyDescent="0.25">
      <c r="C614" s="11"/>
    </row>
    <row r="615" spans="3:3" x14ac:dyDescent="0.25">
      <c r="C615" s="11"/>
    </row>
    <row r="616" spans="3:3" x14ac:dyDescent="0.25">
      <c r="C616" s="11"/>
    </row>
    <row r="617" spans="3:3" x14ac:dyDescent="0.25">
      <c r="C617" s="11"/>
    </row>
    <row r="618" spans="3:3" x14ac:dyDescent="0.25">
      <c r="C618" s="11"/>
    </row>
    <row r="619" spans="3:3" x14ac:dyDescent="0.25">
      <c r="C619" s="11"/>
    </row>
    <row r="620" spans="3:3" x14ac:dyDescent="0.25">
      <c r="C620" s="11"/>
    </row>
    <row r="621" spans="3:3" x14ac:dyDescent="0.25">
      <c r="C621" s="11"/>
    </row>
    <row r="622" spans="3:3" x14ac:dyDescent="0.25">
      <c r="C622" s="11"/>
    </row>
    <row r="623" spans="3:3" x14ac:dyDescent="0.25">
      <c r="C623" s="11"/>
    </row>
    <row r="624" spans="3:3" x14ac:dyDescent="0.25">
      <c r="C624" s="11"/>
    </row>
    <row r="625" spans="3:3" x14ac:dyDescent="0.25">
      <c r="C625" s="11"/>
    </row>
    <row r="626" spans="3:3" x14ac:dyDescent="0.25">
      <c r="C626" s="11"/>
    </row>
    <row r="627" spans="3:3" x14ac:dyDescent="0.25">
      <c r="C627" s="11"/>
    </row>
    <row r="628" spans="3:3" x14ac:dyDescent="0.25">
      <c r="C628" s="11"/>
    </row>
    <row r="629" spans="3:3" x14ac:dyDescent="0.25">
      <c r="C629" s="11"/>
    </row>
    <row r="630" spans="3:3" x14ac:dyDescent="0.25">
      <c r="C630" s="11"/>
    </row>
    <row r="631" spans="3:3" x14ac:dyDescent="0.25">
      <c r="C631" s="11"/>
    </row>
    <row r="632" spans="3:3" x14ac:dyDescent="0.25">
      <c r="C632" s="11"/>
    </row>
    <row r="633" spans="3:3" x14ac:dyDescent="0.25">
      <c r="C633" s="11"/>
    </row>
    <row r="634" spans="3:3" x14ac:dyDescent="0.25">
      <c r="C634" s="11"/>
    </row>
    <row r="635" spans="3:3" x14ac:dyDescent="0.25">
      <c r="C635" s="11"/>
    </row>
    <row r="636" spans="3:3" x14ac:dyDescent="0.25">
      <c r="C636" s="11"/>
    </row>
    <row r="637" spans="3:3" x14ac:dyDescent="0.25">
      <c r="C637" s="11"/>
    </row>
    <row r="638" spans="3:3" x14ac:dyDescent="0.25">
      <c r="C638" s="11"/>
    </row>
    <row r="639" spans="3:3" x14ac:dyDescent="0.25">
      <c r="C639" s="11"/>
    </row>
    <row r="640" spans="3:3" x14ac:dyDescent="0.25">
      <c r="C640" s="11"/>
    </row>
    <row r="641" spans="3:3" x14ac:dyDescent="0.25">
      <c r="C641" s="11"/>
    </row>
    <row r="642" spans="3:3" x14ac:dyDescent="0.25">
      <c r="C642" s="11"/>
    </row>
    <row r="643" spans="3:3" x14ac:dyDescent="0.25">
      <c r="C643" s="11"/>
    </row>
    <row r="644" spans="3:3" x14ac:dyDescent="0.25">
      <c r="C644" s="11"/>
    </row>
    <row r="645" spans="3:3" x14ac:dyDescent="0.25">
      <c r="C645" s="11"/>
    </row>
    <row r="646" spans="3:3" x14ac:dyDescent="0.25">
      <c r="C646" s="11"/>
    </row>
    <row r="647" spans="3:3" x14ac:dyDescent="0.25">
      <c r="C647" s="11"/>
    </row>
    <row r="648" spans="3:3" x14ac:dyDescent="0.25">
      <c r="C648" s="11"/>
    </row>
    <row r="649" spans="3:3" x14ac:dyDescent="0.25">
      <c r="C649" s="11"/>
    </row>
    <row r="650" spans="3:3" x14ac:dyDescent="0.25">
      <c r="C650" s="11"/>
    </row>
    <row r="651" spans="3:3" x14ac:dyDescent="0.25">
      <c r="C651" s="11"/>
    </row>
    <row r="652" spans="3:3" x14ac:dyDescent="0.25">
      <c r="C652" s="11"/>
    </row>
    <row r="653" spans="3:3" x14ac:dyDescent="0.25">
      <c r="C653" s="11"/>
    </row>
    <row r="654" spans="3:3" x14ac:dyDescent="0.25">
      <c r="C654" s="11"/>
    </row>
    <row r="655" spans="3:3" x14ac:dyDescent="0.25">
      <c r="C655" s="11"/>
    </row>
    <row r="656" spans="3:3" x14ac:dyDescent="0.25">
      <c r="C656" s="11"/>
    </row>
    <row r="657" spans="3:3" x14ac:dyDescent="0.25">
      <c r="C657" s="11"/>
    </row>
    <row r="658" spans="3:3" x14ac:dyDescent="0.25">
      <c r="C658" s="11"/>
    </row>
    <row r="659" spans="3:3" x14ac:dyDescent="0.25">
      <c r="C659" s="11"/>
    </row>
    <row r="660" spans="3:3" x14ac:dyDescent="0.25">
      <c r="C660" s="11"/>
    </row>
    <row r="661" spans="3:3" x14ac:dyDescent="0.25">
      <c r="C661" s="11"/>
    </row>
    <row r="662" spans="3:3" x14ac:dyDescent="0.25">
      <c r="C662" s="11"/>
    </row>
    <row r="663" spans="3:3" x14ac:dyDescent="0.25">
      <c r="C663" s="11"/>
    </row>
    <row r="664" spans="3:3" x14ac:dyDescent="0.25">
      <c r="C664" s="11"/>
    </row>
    <row r="665" spans="3:3" x14ac:dyDescent="0.25">
      <c r="C665" s="11"/>
    </row>
    <row r="666" spans="3:3" x14ac:dyDescent="0.25">
      <c r="C666" s="11"/>
    </row>
    <row r="667" spans="3:3" x14ac:dyDescent="0.25">
      <c r="C667" s="11"/>
    </row>
    <row r="668" spans="3:3" x14ac:dyDescent="0.25">
      <c r="C668" s="11"/>
    </row>
    <row r="669" spans="3:3" x14ac:dyDescent="0.25">
      <c r="C669" s="11"/>
    </row>
    <row r="670" spans="3:3" x14ac:dyDescent="0.25">
      <c r="C670" s="11"/>
    </row>
    <row r="671" spans="3:3" x14ac:dyDescent="0.25">
      <c r="C671" s="11"/>
    </row>
    <row r="672" spans="3:3" x14ac:dyDescent="0.25">
      <c r="C672" s="11"/>
    </row>
    <row r="673" spans="3:3" x14ac:dyDescent="0.25">
      <c r="C673" s="11"/>
    </row>
    <row r="674" spans="3:3" x14ac:dyDescent="0.25">
      <c r="C674" s="11"/>
    </row>
    <row r="675" spans="3:3" x14ac:dyDescent="0.25">
      <c r="C675" s="11"/>
    </row>
    <row r="676" spans="3:3" x14ac:dyDescent="0.25">
      <c r="C676" s="11"/>
    </row>
    <row r="677" spans="3:3" x14ac:dyDescent="0.25">
      <c r="C677" s="11"/>
    </row>
    <row r="678" spans="3:3" x14ac:dyDescent="0.25">
      <c r="C678" s="11"/>
    </row>
    <row r="679" spans="3:3" x14ac:dyDescent="0.25">
      <c r="C679" s="11"/>
    </row>
    <row r="680" spans="3:3" x14ac:dyDescent="0.25">
      <c r="C680" s="11"/>
    </row>
    <row r="681" spans="3:3" x14ac:dyDescent="0.25">
      <c r="C681" s="11"/>
    </row>
    <row r="682" spans="3:3" x14ac:dyDescent="0.25">
      <c r="C682" s="11"/>
    </row>
    <row r="683" spans="3:3" x14ac:dyDescent="0.25">
      <c r="C683" s="11"/>
    </row>
    <row r="684" spans="3:3" x14ac:dyDescent="0.25">
      <c r="C684" s="11"/>
    </row>
    <row r="685" spans="3:3" x14ac:dyDescent="0.25">
      <c r="C685" s="11"/>
    </row>
    <row r="686" spans="3:3" x14ac:dyDescent="0.25">
      <c r="C686" s="11"/>
    </row>
    <row r="687" spans="3:3" x14ac:dyDescent="0.25">
      <c r="C687" s="11"/>
    </row>
    <row r="688" spans="3:3" x14ac:dyDescent="0.25">
      <c r="C688" s="11"/>
    </row>
    <row r="689" spans="3:3" x14ac:dyDescent="0.25">
      <c r="C689" s="11"/>
    </row>
    <row r="690" spans="3:3" x14ac:dyDescent="0.25">
      <c r="C690" s="11"/>
    </row>
    <row r="691" spans="3:3" x14ac:dyDescent="0.25">
      <c r="C691" s="11"/>
    </row>
    <row r="692" spans="3:3" x14ac:dyDescent="0.25">
      <c r="C692" s="11"/>
    </row>
    <row r="693" spans="3:3" x14ac:dyDescent="0.25">
      <c r="C693" s="11"/>
    </row>
    <row r="694" spans="3:3" x14ac:dyDescent="0.25">
      <c r="C694" s="11"/>
    </row>
    <row r="695" spans="3:3" x14ac:dyDescent="0.25">
      <c r="C695" s="11"/>
    </row>
    <row r="696" spans="3:3" x14ac:dyDescent="0.25">
      <c r="C696" s="11"/>
    </row>
    <row r="697" spans="3:3" x14ac:dyDescent="0.25">
      <c r="C697" s="11"/>
    </row>
    <row r="698" spans="3:3" x14ac:dyDescent="0.25">
      <c r="C698" s="11"/>
    </row>
    <row r="699" spans="3:3" x14ac:dyDescent="0.25">
      <c r="C699" s="11"/>
    </row>
    <row r="700" spans="3:3" x14ac:dyDescent="0.25">
      <c r="C700" s="11"/>
    </row>
    <row r="701" spans="3:3" x14ac:dyDescent="0.25">
      <c r="C701" s="11"/>
    </row>
    <row r="702" spans="3:3" x14ac:dyDescent="0.25">
      <c r="C702" s="11"/>
    </row>
    <row r="703" spans="3:3" x14ac:dyDescent="0.25">
      <c r="C703" s="11"/>
    </row>
    <row r="704" spans="3:3" x14ac:dyDescent="0.25">
      <c r="C704" s="11"/>
    </row>
    <row r="705" spans="3:3" x14ac:dyDescent="0.25">
      <c r="C705" s="11"/>
    </row>
    <row r="706" spans="3:3" x14ac:dyDescent="0.25">
      <c r="C706" s="11"/>
    </row>
    <row r="707" spans="3:3" x14ac:dyDescent="0.25">
      <c r="C707" s="11"/>
    </row>
    <row r="708" spans="3:3" x14ac:dyDescent="0.25">
      <c r="C708" s="11"/>
    </row>
    <row r="709" spans="3:3" x14ac:dyDescent="0.25">
      <c r="C709" s="11"/>
    </row>
    <row r="710" spans="3:3" x14ac:dyDescent="0.25">
      <c r="C710" s="11"/>
    </row>
    <row r="711" spans="3:3" x14ac:dyDescent="0.25">
      <c r="C711" s="11"/>
    </row>
    <row r="712" spans="3:3" x14ac:dyDescent="0.25">
      <c r="C712" s="11"/>
    </row>
    <row r="713" spans="3:3" x14ac:dyDescent="0.25">
      <c r="C713" s="11"/>
    </row>
    <row r="714" spans="3:3" x14ac:dyDescent="0.25">
      <c r="C714" s="11"/>
    </row>
    <row r="715" spans="3:3" x14ac:dyDescent="0.25">
      <c r="C715" s="11"/>
    </row>
    <row r="716" spans="3:3" x14ac:dyDescent="0.25">
      <c r="C716" s="11"/>
    </row>
    <row r="717" spans="3:3" x14ac:dyDescent="0.25">
      <c r="C717" s="11"/>
    </row>
    <row r="718" spans="3:3" x14ac:dyDescent="0.25">
      <c r="C718" s="11"/>
    </row>
    <row r="719" spans="3:3" x14ac:dyDescent="0.25">
      <c r="C719" s="11"/>
    </row>
    <row r="720" spans="3:3" x14ac:dyDescent="0.25">
      <c r="C720" s="11"/>
    </row>
    <row r="721" spans="3:3" x14ac:dyDescent="0.25">
      <c r="C721" s="11"/>
    </row>
    <row r="722" spans="3:3" x14ac:dyDescent="0.25">
      <c r="C722" s="11"/>
    </row>
    <row r="723" spans="3:3" x14ac:dyDescent="0.25">
      <c r="C723" s="11"/>
    </row>
    <row r="724" spans="3:3" x14ac:dyDescent="0.25">
      <c r="C724" s="11"/>
    </row>
    <row r="725" spans="3:3" x14ac:dyDescent="0.25">
      <c r="C725" s="11"/>
    </row>
    <row r="726" spans="3:3" x14ac:dyDescent="0.25">
      <c r="C726" s="11"/>
    </row>
    <row r="727" spans="3:3" x14ac:dyDescent="0.25">
      <c r="C727" s="11"/>
    </row>
    <row r="728" spans="3:3" x14ac:dyDescent="0.25">
      <c r="C728" s="11"/>
    </row>
    <row r="729" spans="3:3" x14ac:dyDescent="0.25">
      <c r="C729" s="11"/>
    </row>
    <row r="730" spans="3:3" x14ac:dyDescent="0.25">
      <c r="C730" s="11"/>
    </row>
    <row r="731" spans="3:3" x14ac:dyDescent="0.25">
      <c r="C731" s="11"/>
    </row>
    <row r="732" spans="3:3" x14ac:dyDescent="0.25">
      <c r="C732" s="11"/>
    </row>
    <row r="733" spans="3:3" x14ac:dyDescent="0.25">
      <c r="C733" s="11"/>
    </row>
    <row r="734" spans="3:3" x14ac:dyDescent="0.25">
      <c r="C734" s="11"/>
    </row>
    <row r="735" spans="3:3" x14ac:dyDescent="0.25">
      <c r="C735" s="11"/>
    </row>
    <row r="736" spans="3:3" x14ac:dyDescent="0.25">
      <c r="C736" s="11"/>
    </row>
    <row r="737" spans="3:3" x14ac:dyDescent="0.25">
      <c r="C737" s="11"/>
    </row>
    <row r="738" spans="3:3" x14ac:dyDescent="0.25">
      <c r="C738" s="11"/>
    </row>
    <row r="739" spans="3:3" x14ac:dyDescent="0.25">
      <c r="C739" s="11"/>
    </row>
    <row r="740" spans="3:3" x14ac:dyDescent="0.25">
      <c r="C740" s="11"/>
    </row>
    <row r="741" spans="3:3" x14ac:dyDescent="0.25">
      <c r="C741" s="11"/>
    </row>
    <row r="742" spans="3:3" x14ac:dyDescent="0.25">
      <c r="C742" s="11"/>
    </row>
    <row r="743" spans="3:3" x14ac:dyDescent="0.25">
      <c r="C743" s="11"/>
    </row>
    <row r="744" spans="3:3" x14ac:dyDescent="0.25">
      <c r="C744" s="11"/>
    </row>
    <row r="745" spans="3:3" x14ac:dyDescent="0.25">
      <c r="C745" s="11"/>
    </row>
    <row r="746" spans="3:3" x14ac:dyDescent="0.25">
      <c r="C746" s="11"/>
    </row>
    <row r="747" spans="3:3" x14ac:dyDescent="0.25">
      <c r="C747" s="11"/>
    </row>
    <row r="748" spans="3:3" x14ac:dyDescent="0.25">
      <c r="C748" s="11"/>
    </row>
    <row r="749" spans="3:3" x14ac:dyDescent="0.25">
      <c r="C749" s="11"/>
    </row>
    <row r="750" spans="3:3" x14ac:dyDescent="0.25">
      <c r="C750" s="11"/>
    </row>
    <row r="751" spans="3:3" x14ac:dyDescent="0.25">
      <c r="C751" s="11"/>
    </row>
    <row r="752" spans="3:3" x14ac:dyDescent="0.25">
      <c r="C752" s="11"/>
    </row>
    <row r="753" spans="3:3" x14ac:dyDescent="0.25">
      <c r="C753" s="11"/>
    </row>
    <row r="754" spans="3:3" x14ac:dyDescent="0.25">
      <c r="C754" s="11"/>
    </row>
    <row r="755" spans="3:3" x14ac:dyDescent="0.25">
      <c r="C755" s="11"/>
    </row>
    <row r="756" spans="3:3" x14ac:dyDescent="0.25">
      <c r="C756" s="11"/>
    </row>
    <row r="757" spans="3:3" x14ac:dyDescent="0.25">
      <c r="C757" s="11"/>
    </row>
    <row r="758" spans="3:3" x14ac:dyDescent="0.25">
      <c r="C758" s="11"/>
    </row>
    <row r="759" spans="3:3" x14ac:dyDescent="0.25">
      <c r="C759" s="11"/>
    </row>
    <row r="760" spans="3:3" x14ac:dyDescent="0.25">
      <c r="C760" s="11"/>
    </row>
    <row r="761" spans="3:3" x14ac:dyDescent="0.25">
      <c r="C761" s="11"/>
    </row>
    <row r="762" spans="3:3" x14ac:dyDescent="0.25">
      <c r="C762" s="11"/>
    </row>
    <row r="763" spans="3:3" x14ac:dyDescent="0.25">
      <c r="C763" s="11"/>
    </row>
    <row r="764" spans="3:3" x14ac:dyDescent="0.25">
      <c r="C764" s="11"/>
    </row>
    <row r="765" spans="3:3" x14ac:dyDescent="0.25">
      <c r="C765" s="11"/>
    </row>
    <row r="766" spans="3:3" x14ac:dyDescent="0.25">
      <c r="C766" s="11"/>
    </row>
    <row r="767" spans="3:3" x14ac:dyDescent="0.25">
      <c r="C767" s="11"/>
    </row>
    <row r="768" spans="3:3" x14ac:dyDescent="0.25">
      <c r="C768" s="11"/>
    </row>
    <row r="769" spans="3:3" x14ac:dyDescent="0.25">
      <c r="C769" s="11"/>
    </row>
    <row r="770" spans="3:3" x14ac:dyDescent="0.25">
      <c r="C770" s="11"/>
    </row>
    <row r="771" spans="3:3" x14ac:dyDescent="0.25">
      <c r="C771" s="11"/>
    </row>
    <row r="772" spans="3:3" x14ac:dyDescent="0.25">
      <c r="C772" s="11"/>
    </row>
    <row r="773" spans="3:3" x14ac:dyDescent="0.25">
      <c r="C773" s="11"/>
    </row>
    <row r="774" spans="3:3" x14ac:dyDescent="0.25">
      <c r="C774" s="11"/>
    </row>
    <row r="775" spans="3:3" x14ac:dyDescent="0.25">
      <c r="C775" s="11"/>
    </row>
    <row r="776" spans="3:3" x14ac:dyDescent="0.25">
      <c r="C776" s="11"/>
    </row>
    <row r="777" spans="3:3" x14ac:dyDescent="0.25">
      <c r="C777" s="11"/>
    </row>
    <row r="778" spans="3:3" x14ac:dyDescent="0.25">
      <c r="C778" s="11"/>
    </row>
    <row r="779" spans="3:3" x14ac:dyDescent="0.25">
      <c r="C779" s="11"/>
    </row>
    <row r="780" spans="3:3" x14ac:dyDescent="0.25">
      <c r="C780" s="11"/>
    </row>
    <row r="781" spans="3:3" x14ac:dyDescent="0.25">
      <c r="C781" s="11"/>
    </row>
    <row r="782" spans="3:3" x14ac:dyDescent="0.25">
      <c r="C782" s="11"/>
    </row>
    <row r="783" spans="3:3" x14ac:dyDescent="0.25">
      <c r="C783" s="11"/>
    </row>
    <row r="784" spans="3:3" x14ac:dyDescent="0.25">
      <c r="C784" s="11"/>
    </row>
    <row r="785" spans="3:3" x14ac:dyDescent="0.25">
      <c r="C785" s="11"/>
    </row>
    <row r="786" spans="3:3" x14ac:dyDescent="0.25">
      <c r="C786" s="11"/>
    </row>
    <row r="787" spans="3:3" x14ac:dyDescent="0.25">
      <c r="C787" s="11"/>
    </row>
    <row r="788" spans="3:3" x14ac:dyDescent="0.25">
      <c r="C788" s="11"/>
    </row>
    <row r="789" spans="3:3" x14ac:dyDescent="0.25">
      <c r="C789" s="11"/>
    </row>
    <row r="790" spans="3:3" x14ac:dyDescent="0.25">
      <c r="C790" s="11"/>
    </row>
    <row r="791" spans="3:3" x14ac:dyDescent="0.25">
      <c r="C791" s="11"/>
    </row>
    <row r="792" spans="3:3" x14ac:dyDescent="0.25">
      <c r="C792" s="11"/>
    </row>
    <row r="793" spans="3:3" x14ac:dyDescent="0.25">
      <c r="C793" s="11"/>
    </row>
    <row r="794" spans="3:3" x14ac:dyDescent="0.25">
      <c r="C794" s="11"/>
    </row>
    <row r="795" spans="3:3" x14ac:dyDescent="0.25">
      <c r="C795" s="11"/>
    </row>
    <row r="796" spans="3:3" x14ac:dyDescent="0.25">
      <c r="C796" s="11"/>
    </row>
    <row r="797" spans="3:3" x14ac:dyDescent="0.25">
      <c r="C797" s="11"/>
    </row>
    <row r="798" spans="3:3" x14ac:dyDescent="0.25">
      <c r="C798" s="11"/>
    </row>
    <row r="799" spans="3:3" x14ac:dyDescent="0.25">
      <c r="C799" s="11"/>
    </row>
    <row r="800" spans="3:3" x14ac:dyDescent="0.25">
      <c r="C800" s="11"/>
    </row>
    <row r="801" spans="3:3" x14ac:dyDescent="0.25">
      <c r="C801" s="11"/>
    </row>
    <row r="802" spans="3:3" x14ac:dyDescent="0.25">
      <c r="C802" s="11"/>
    </row>
    <row r="803" spans="3:3" x14ac:dyDescent="0.25">
      <c r="C803" s="11"/>
    </row>
    <row r="804" spans="3:3" x14ac:dyDescent="0.25">
      <c r="C804" s="11"/>
    </row>
    <row r="805" spans="3:3" x14ac:dyDescent="0.25">
      <c r="C805" s="11"/>
    </row>
    <row r="806" spans="3:3" x14ac:dyDescent="0.25">
      <c r="C806" s="11"/>
    </row>
    <row r="807" spans="3:3" x14ac:dyDescent="0.25">
      <c r="C807" s="11"/>
    </row>
    <row r="808" spans="3:3" x14ac:dyDescent="0.25">
      <c r="C808" s="11"/>
    </row>
    <row r="809" spans="3:3" x14ac:dyDescent="0.25">
      <c r="C809" s="11"/>
    </row>
    <row r="810" spans="3:3" x14ac:dyDescent="0.25">
      <c r="C810" s="11"/>
    </row>
    <row r="811" spans="3:3" x14ac:dyDescent="0.25">
      <c r="C811" s="11"/>
    </row>
    <row r="812" spans="3:3" x14ac:dyDescent="0.25">
      <c r="C812" s="11"/>
    </row>
    <row r="813" spans="3:3" x14ac:dyDescent="0.25">
      <c r="C813" s="11"/>
    </row>
    <row r="814" spans="3:3" x14ac:dyDescent="0.25">
      <c r="C814" s="11"/>
    </row>
    <row r="815" spans="3:3" x14ac:dyDescent="0.25">
      <c r="C815" s="11"/>
    </row>
    <row r="816" spans="3:3" x14ac:dyDescent="0.25">
      <c r="C816" s="11"/>
    </row>
    <row r="817" spans="3:3" x14ac:dyDescent="0.25">
      <c r="C817" s="11"/>
    </row>
    <row r="818" spans="3:3" x14ac:dyDescent="0.25">
      <c r="C818" s="11"/>
    </row>
    <row r="819" spans="3:3" x14ac:dyDescent="0.25">
      <c r="C819" s="11"/>
    </row>
    <row r="820" spans="3:3" x14ac:dyDescent="0.25">
      <c r="C820" s="11"/>
    </row>
    <row r="821" spans="3:3" x14ac:dyDescent="0.25">
      <c r="C821" s="11"/>
    </row>
    <row r="822" spans="3:3" x14ac:dyDescent="0.25">
      <c r="C822" s="11"/>
    </row>
    <row r="823" spans="3:3" x14ac:dyDescent="0.25">
      <c r="C823" s="11"/>
    </row>
    <row r="824" spans="3:3" x14ac:dyDescent="0.25">
      <c r="C824" s="11"/>
    </row>
    <row r="825" spans="3:3" x14ac:dyDescent="0.25">
      <c r="C825" s="11"/>
    </row>
    <row r="826" spans="3:3" x14ac:dyDescent="0.25">
      <c r="C826" s="11"/>
    </row>
    <row r="827" spans="3:3" x14ac:dyDescent="0.25">
      <c r="C827" s="11"/>
    </row>
    <row r="828" spans="3:3" x14ac:dyDescent="0.25">
      <c r="C828" s="11"/>
    </row>
    <row r="829" spans="3:3" x14ac:dyDescent="0.25">
      <c r="C829" s="11"/>
    </row>
    <row r="830" spans="3:3" x14ac:dyDescent="0.25">
      <c r="C830" s="11"/>
    </row>
    <row r="831" spans="3:3" x14ac:dyDescent="0.25">
      <c r="C831" s="11"/>
    </row>
    <row r="832" spans="3:3" x14ac:dyDescent="0.25">
      <c r="C832" s="11"/>
    </row>
    <row r="833" spans="3:3" x14ac:dyDescent="0.25">
      <c r="C833" s="11"/>
    </row>
    <row r="834" spans="3:3" x14ac:dyDescent="0.25">
      <c r="C834" s="11"/>
    </row>
    <row r="835" spans="3:3" x14ac:dyDescent="0.25">
      <c r="C835" s="11"/>
    </row>
    <row r="836" spans="3:3" x14ac:dyDescent="0.25">
      <c r="C836" s="11"/>
    </row>
    <row r="837" spans="3:3" x14ac:dyDescent="0.25">
      <c r="C837" s="11"/>
    </row>
    <row r="838" spans="3:3" x14ac:dyDescent="0.25">
      <c r="C838" s="11"/>
    </row>
    <row r="839" spans="3:3" x14ac:dyDescent="0.25">
      <c r="C839" s="11"/>
    </row>
    <row r="840" spans="3:3" x14ac:dyDescent="0.25">
      <c r="C840" s="11"/>
    </row>
    <row r="841" spans="3:3" x14ac:dyDescent="0.25">
      <c r="C841" s="11"/>
    </row>
    <row r="842" spans="3:3" x14ac:dyDescent="0.25">
      <c r="C842" s="11"/>
    </row>
    <row r="843" spans="3:3" x14ac:dyDescent="0.25">
      <c r="C843" s="11"/>
    </row>
    <row r="844" spans="3:3" x14ac:dyDescent="0.25">
      <c r="C844" s="11"/>
    </row>
    <row r="845" spans="3:3" x14ac:dyDescent="0.25">
      <c r="C845" s="11"/>
    </row>
    <row r="846" spans="3:3" x14ac:dyDescent="0.25">
      <c r="C846" s="11"/>
    </row>
    <row r="847" spans="3:3" x14ac:dyDescent="0.25">
      <c r="C847" s="11"/>
    </row>
    <row r="848" spans="3:3" x14ac:dyDescent="0.25">
      <c r="C848" s="11"/>
    </row>
    <row r="849" spans="3:3" x14ac:dyDescent="0.25">
      <c r="C849" s="11"/>
    </row>
    <row r="850" spans="3:3" x14ac:dyDescent="0.25">
      <c r="C850" s="11"/>
    </row>
    <row r="851" spans="3:3" x14ac:dyDescent="0.25">
      <c r="C851" s="11"/>
    </row>
    <row r="852" spans="3:3" x14ac:dyDescent="0.25">
      <c r="C852" s="11"/>
    </row>
    <row r="853" spans="3:3" x14ac:dyDescent="0.25">
      <c r="C853" s="11"/>
    </row>
    <row r="854" spans="3:3" x14ac:dyDescent="0.25">
      <c r="C854" s="11"/>
    </row>
    <row r="855" spans="3:3" x14ac:dyDescent="0.25">
      <c r="C855" s="11"/>
    </row>
    <row r="856" spans="3:3" x14ac:dyDescent="0.25">
      <c r="C856" s="11"/>
    </row>
    <row r="857" spans="3:3" x14ac:dyDescent="0.25">
      <c r="C857" s="11"/>
    </row>
    <row r="858" spans="3:3" x14ac:dyDescent="0.25">
      <c r="C858" s="11"/>
    </row>
    <row r="859" spans="3:3" x14ac:dyDescent="0.25">
      <c r="C859" s="11"/>
    </row>
    <row r="860" spans="3:3" x14ac:dyDescent="0.25">
      <c r="C860" s="11"/>
    </row>
    <row r="861" spans="3:3" x14ac:dyDescent="0.25">
      <c r="C861" s="11"/>
    </row>
    <row r="862" spans="3:3" x14ac:dyDescent="0.25">
      <c r="C862" s="11"/>
    </row>
    <row r="863" spans="3:3" x14ac:dyDescent="0.25">
      <c r="C863" s="11"/>
    </row>
    <row r="864" spans="3:3" x14ac:dyDescent="0.25">
      <c r="C864" s="11"/>
    </row>
    <row r="865" spans="3:3" x14ac:dyDescent="0.25">
      <c r="C865" s="11"/>
    </row>
    <row r="866" spans="3:3" x14ac:dyDescent="0.25">
      <c r="C866" s="11"/>
    </row>
    <row r="867" spans="3:3" x14ac:dyDescent="0.25">
      <c r="C867" s="11"/>
    </row>
    <row r="868" spans="3:3" x14ac:dyDescent="0.25">
      <c r="C868" s="11"/>
    </row>
    <row r="869" spans="3:3" x14ac:dyDescent="0.25">
      <c r="C869" s="11"/>
    </row>
    <row r="870" spans="3:3" x14ac:dyDescent="0.25">
      <c r="C870" s="11"/>
    </row>
    <row r="871" spans="3:3" x14ac:dyDescent="0.25">
      <c r="C871" s="11"/>
    </row>
    <row r="872" spans="3:3" x14ac:dyDescent="0.25">
      <c r="C872" s="11"/>
    </row>
    <row r="873" spans="3:3" x14ac:dyDescent="0.25">
      <c r="C873" s="11"/>
    </row>
    <row r="874" spans="3:3" x14ac:dyDescent="0.25">
      <c r="C874" s="11"/>
    </row>
    <row r="875" spans="3:3" x14ac:dyDescent="0.25">
      <c r="C875" s="11"/>
    </row>
    <row r="876" spans="3:3" x14ac:dyDescent="0.25">
      <c r="C876" s="11"/>
    </row>
    <row r="877" spans="3:3" x14ac:dyDescent="0.25">
      <c r="C877" s="11"/>
    </row>
    <row r="878" spans="3:3" x14ac:dyDescent="0.25">
      <c r="C878" s="11"/>
    </row>
    <row r="879" spans="3:3" x14ac:dyDescent="0.25">
      <c r="C879" s="11"/>
    </row>
    <row r="880" spans="3:3" x14ac:dyDescent="0.25">
      <c r="C880" s="11"/>
    </row>
    <row r="881" spans="3:3" x14ac:dyDescent="0.25">
      <c r="C881" s="11"/>
    </row>
    <row r="882" spans="3:3" x14ac:dyDescent="0.25">
      <c r="C882" s="11"/>
    </row>
    <row r="883" spans="3:3" x14ac:dyDescent="0.25">
      <c r="C883" s="11"/>
    </row>
    <row r="884" spans="3:3" x14ac:dyDescent="0.25">
      <c r="C884" s="11"/>
    </row>
    <row r="885" spans="3:3" x14ac:dyDescent="0.25">
      <c r="C885" s="11"/>
    </row>
    <row r="886" spans="3:3" x14ac:dyDescent="0.25">
      <c r="C886" s="11"/>
    </row>
    <row r="887" spans="3:3" x14ac:dyDescent="0.25">
      <c r="C887" s="11"/>
    </row>
    <row r="888" spans="3:3" x14ac:dyDescent="0.25">
      <c r="C888" s="11"/>
    </row>
    <row r="889" spans="3:3" x14ac:dyDescent="0.25">
      <c r="C889" s="11"/>
    </row>
    <row r="890" spans="3:3" x14ac:dyDescent="0.25">
      <c r="C890" s="11"/>
    </row>
    <row r="891" spans="3:3" x14ac:dyDescent="0.25">
      <c r="C891" s="11"/>
    </row>
    <row r="892" spans="3:3" x14ac:dyDescent="0.25">
      <c r="C892" s="11"/>
    </row>
    <row r="893" spans="3:3" x14ac:dyDescent="0.25">
      <c r="C893" s="11"/>
    </row>
    <row r="894" spans="3:3" x14ac:dyDescent="0.25">
      <c r="C894" s="11"/>
    </row>
    <row r="895" spans="3:3" x14ac:dyDescent="0.25">
      <c r="C895" s="11"/>
    </row>
    <row r="896" spans="3:3" x14ac:dyDescent="0.25">
      <c r="C896" s="11"/>
    </row>
    <row r="897" spans="3:3" x14ac:dyDescent="0.25">
      <c r="C897" s="11"/>
    </row>
    <row r="898" spans="3:3" x14ac:dyDescent="0.25">
      <c r="C898" s="11"/>
    </row>
    <row r="899" spans="3:3" x14ac:dyDescent="0.25">
      <c r="C899" s="11"/>
    </row>
    <row r="900" spans="3:3" x14ac:dyDescent="0.25">
      <c r="C900" s="11"/>
    </row>
    <row r="901" spans="3:3" x14ac:dyDescent="0.25">
      <c r="C901" s="11"/>
    </row>
    <row r="902" spans="3:3" x14ac:dyDescent="0.25">
      <c r="C902" s="11"/>
    </row>
    <row r="903" spans="3:3" x14ac:dyDescent="0.25">
      <c r="C903" s="11"/>
    </row>
    <row r="904" spans="3:3" x14ac:dyDescent="0.25">
      <c r="C904" s="11"/>
    </row>
    <row r="905" spans="3:3" x14ac:dyDescent="0.25">
      <c r="C905" s="11"/>
    </row>
    <row r="906" spans="3:3" x14ac:dyDescent="0.25">
      <c r="C906" s="11"/>
    </row>
    <row r="907" spans="3:3" x14ac:dyDescent="0.25">
      <c r="C907" s="11"/>
    </row>
    <row r="908" spans="3:3" x14ac:dyDescent="0.25">
      <c r="C908" s="11"/>
    </row>
    <row r="909" spans="3:3" x14ac:dyDescent="0.25">
      <c r="C909" s="11"/>
    </row>
    <row r="910" spans="3:3" x14ac:dyDescent="0.25">
      <c r="C910" s="11"/>
    </row>
    <row r="911" spans="3:3" x14ac:dyDescent="0.25">
      <c r="C911" s="11"/>
    </row>
    <row r="912" spans="3:3" x14ac:dyDescent="0.25">
      <c r="C912" s="11"/>
    </row>
    <row r="913" spans="3:3" x14ac:dyDescent="0.25">
      <c r="C913" s="11"/>
    </row>
    <row r="914" spans="3:3" x14ac:dyDescent="0.25">
      <c r="C914" s="11"/>
    </row>
    <row r="915" spans="3:3" x14ac:dyDescent="0.25">
      <c r="C915" s="11"/>
    </row>
    <row r="916" spans="3:3" x14ac:dyDescent="0.25">
      <c r="C916" s="11"/>
    </row>
    <row r="917" spans="3:3" x14ac:dyDescent="0.25">
      <c r="C917" s="11"/>
    </row>
    <row r="918" spans="3:3" x14ac:dyDescent="0.25">
      <c r="C918" s="11"/>
    </row>
    <row r="919" spans="3:3" x14ac:dyDescent="0.25">
      <c r="C919" s="11"/>
    </row>
    <row r="920" spans="3:3" x14ac:dyDescent="0.25">
      <c r="C920" s="11"/>
    </row>
    <row r="921" spans="3:3" x14ac:dyDescent="0.25">
      <c r="C921" s="11"/>
    </row>
    <row r="922" spans="3:3" x14ac:dyDescent="0.25">
      <c r="C922" s="11"/>
    </row>
    <row r="923" spans="3:3" x14ac:dyDescent="0.25">
      <c r="C923" s="11"/>
    </row>
    <row r="924" spans="3:3" x14ac:dyDescent="0.25">
      <c r="C924" s="11"/>
    </row>
    <row r="925" spans="3:3" x14ac:dyDescent="0.25">
      <c r="C925" s="11"/>
    </row>
    <row r="926" spans="3:3" x14ac:dyDescent="0.25">
      <c r="C926" s="11"/>
    </row>
    <row r="927" spans="3:3" x14ac:dyDescent="0.25">
      <c r="C927" s="11"/>
    </row>
    <row r="928" spans="3:3" x14ac:dyDescent="0.25">
      <c r="C928" s="11"/>
    </row>
    <row r="929" spans="3:3" x14ac:dyDescent="0.25">
      <c r="C929" s="11"/>
    </row>
    <row r="930" spans="3:3" x14ac:dyDescent="0.25">
      <c r="C930" s="11"/>
    </row>
    <row r="931" spans="3:3" x14ac:dyDescent="0.25">
      <c r="C931" s="11"/>
    </row>
    <row r="932" spans="3:3" x14ac:dyDescent="0.25">
      <c r="C932" s="11"/>
    </row>
    <row r="933" spans="3:3" x14ac:dyDescent="0.25">
      <c r="C933" s="11"/>
    </row>
    <row r="934" spans="3:3" x14ac:dyDescent="0.25">
      <c r="C934" s="11"/>
    </row>
    <row r="935" spans="3:3" x14ac:dyDescent="0.25">
      <c r="C935" s="11"/>
    </row>
    <row r="936" spans="3:3" x14ac:dyDescent="0.25">
      <c r="C936" s="11"/>
    </row>
    <row r="937" spans="3:3" x14ac:dyDescent="0.25">
      <c r="C937" s="11"/>
    </row>
    <row r="938" spans="3:3" x14ac:dyDescent="0.25">
      <c r="C938" s="11"/>
    </row>
    <row r="939" spans="3:3" x14ac:dyDescent="0.25">
      <c r="C939" s="11"/>
    </row>
    <row r="940" spans="3:3" x14ac:dyDescent="0.25">
      <c r="C940" s="11"/>
    </row>
    <row r="941" spans="3:3" x14ac:dyDescent="0.25">
      <c r="C941" s="11"/>
    </row>
    <row r="942" spans="3:3" x14ac:dyDescent="0.25">
      <c r="C942" s="11"/>
    </row>
    <row r="943" spans="3:3" x14ac:dyDescent="0.25">
      <c r="C943" s="11"/>
    </row>
    <row r="944" spans="3:3" x14ac:dyDescent="0.25">
      <c r="C944" s="11"/>
    </row>
    <row r="945" spans="3:3" x14ac:dyDescent="0.25">
      <c r="C945" s="11"/>
    </row>
    <row r="946" spans="3:3" x14ac:dyDescent="0.25">
      <c r="C946" s="11"/>
    </row>
    <row r="947" spans="3:3" x14ac:dyDescent="0.25">
      <c r="C947" s="11"/>
    </row>
    <row r="948" spans="3:3" x14ac:dyDescent="0.25">
      <c r="C948" s="11"/>
    </row>
    <row r="949" spans="3:3" x14ac:dyDescent="0.25">
      <c r="C949" s="11"/>
    </row>
    <row r="950" spans="3:3" x14ac:dyDescent="0.25">
      <c r="C950" s="11"/>
    </row>
    <row r="951" spans="3:3" x14ac:dyDescent="0.25">
      <c r="C951" s="11"/>
    </row>
    <row r="952" spans="3:3" x14ac:dyDescent="0.25">
      <c r="C952" s="11"/>
    </row>
    <row r="953" spans="3:3" x14ac:dyDescent="0.25">
      <c r="C953" s="11"/>
    </row>
    <row r="954" spans="3:3" x14ac:dyDescent="0.25">
      <c r="C954" s="11"/>
    </row>
    <row r="955" spans="3:3" x14ac:dyDescent="0.25">
      <c r="C955" s="11"/>
    </row>
    <row r="956" spans="3:3" x14ac:dyDescent="0.25">
      <c r="C956" s="11"/>
    </row>
    <row r="957" spans="3:3" x14ac:dyDescent="0.25">
      <c r="C957" s="11"/>
    </row>
    <row r="958" spans="3:3" x14ac:dyDescent="0.25">
      <c r="C958" s="11"/>
    </row>
    <row r="959" spans="3:3" x14ac:dyDescent="0.25">
      <c r="C959" s="11"/>
    </row>
    <row r="960" spans="3:3" x14ac:dyDescent="0.25">
      <c r="C960" s="11"/>
    </row>
    <row r="961" spans="3:3" x14ac:dyDescent="0.25">
      <c r="C961" s="11"/>
    </row>
    <row r="962" spans="3:3" x14ac:dyDescent="0.25">
      <c r="C962" s="11"/>
    </row>
    <row r="963" spans="3:3" x14ac:dyDescent="0.25">
      <c r="C963" s="11"/>
    </row>
    <row r="964" spans="3:3" x14ac:dyDescent="0.25">
      <c r="C964" s="11"/>
    </row>
    <row r="965" spans="3:3" x14ac:dyDescent="0.25">
      <c r="C965" s="11"/>
    </row>
    <row r="966" spans="3:3" x14ac:dyDescent="0.25">
      <c r="C966" s="11"/>
    </row>
    <row r="967" spans="3:3" x14ac:dyDescent="0.25">
      <c r="C967" s="11"/>
    </row>
    <row r="968" spans="3:3" x14ac:dyDescent="0.25">
      <c r="C968" s="11"/>
    </row>
    <row r="969" spans="3:3" x14ac:dyDescent="0.25">
      <c r="C969" s="11"/>
    </row>
    <row r="970" spans="3:3" x14ac:dyDescent="0.25">
      <c r="C970" s="11"/>
    </row>
    <row r="971" spans="3:3" x14ac:dyDescent="0.25">
      <c r="C971" s="11"/>
    </row>
    <row r="972" spans="3:3" x14ac:dyDescent="0.25">
      <c r="C972" s="11"/>
    </row>
    <row r="973" spans="3:3" x14ac:dyDescent="0.25">
      <c r="C973" s="11"/>
    </row>
    <row r="974" spans="3:3" x14ac:dyDescent="0.25">
      <c r="C974" s="11"/>
    </row>
    <row r="975" spans="3:3" x14ac:dyDescent="0.25">
      <c r="C975" s="11"/>
    </row>
    <row r="976" spans="3:3" x14ac:dyDescent="0.25">
      <c r="C976" s="11"/>
    </row>
    <row r="977" spans="3:3" x14ac:dyDescent="0.25">
      <c r="C977" s="11"/>
    </row>
    <row r="978" spans="3:3" x14ac:dyDescent="0.25">
      <c r="C978" s="11"/>
    </row>
    <row r="979" spans="3:3" x14ac:dyDescent="0.25">
      <c r="C979" s="11"/>
    </row>
    <row r="980" spans="3:3" x14ac:dyDescent="0.25">
      <c r="C980" s="11"/>
    </row>
    <row r="981" spans="3:3" x14ac:dyDescent="0.25">
      <c r="C981" s="11"/>
    </row>
    <row r="982" spans="3:3" x14ac:dyDescent="0.25">
      <c r="C982" s="11"/>
    </row>
    <row r="983" spans="3:3" x14ac:dyDescent="0.25">
      <c r="C983" s="11"/>
    </row>
    <row r="984" spans="3:3" x14ac:dyDescent="0.25">
      <c r="C984" s="11"/>
    </row>
    <row r="985" spans="3:3" x14ac:dyDescent="0.25">
      <c r="C985" s="11"/>
    </row>
    <row r="986" spans="3:3" x14ac:dyDescent="0.25">
      <c r="C986" s="11"/>
    </row>
    <row r="987" spans="3:3" x14ac:dyDescent="0.25">
      <c r="C987" s="11"/>
    </row>
    <row r="988" spans="3:3" x14ac:dyDescent="0.25">
      <c r="C988" s="11"/>
    </row>
    <row r="989" spans="3:3" x14ac:dyDescent="0.25">
      <c r="C989" s="11"/>
    </row>
    <row r="990" spans="3:3" x14ac:dyDescent="0.25">
      <c r="C990" s="11"/>
    </row>
    <row r="991" spans="3:3" x14ac:dyDescent="0.25">
      <c r="C991" s="11"/>
    </row>
    <row r="992" spans="3:3" x14ac:dyDescent="0.25">
      <c r="C992" s="11"/>
    </row>
    <row r="993" spans="3:3" x14ac:dyDescent="0.25">
      <c r="C993" s="11"/>
    </row>
    <row r="994" spans="3:3" x14ac:dyDescent="0.25">
      <c r="C994" s="11"/>
    </row>
    <row r="995" spans="3:3" x14ac:dyDescent="0.25">
      <c r="C995" s="11"/>
    </row>
    <row r="996" spans="3:3" x14ac:dyDescent="0.25">
      <c r="C996" s="11"/>
    </row>
    <row r="997" spans="3:3" x14ac:dyDescent="0.25">
      <c r="C997" s="11"/>
    </row>
    <row r="998" spans="3:3" x14ac:dyDescent="0.25">
      <c r="C998" s="11"/>
    </row>
    <row r="999" spans="3:3" x14ac:dyDescent="0.25">
      <c r="C999" s="11"/>
    </row>
    <row r="1000" spans="3:3" x14ac:dyDescent="0.25">
      <c r="C1000" s="11"/>
    </row>
    <row r="1001" spans="3:3" x14ac:dyDescent="0.25">
      <c r="C1001" s="11"/>
    </row>
    <row r="1002" spans="3:3" x14ac:dyDescent="0.25">
      <c r="C1002" s="11"/>
    </row>
    <row r="1003" spans="3:3" x14ac:dyDescent="0.25">
      <c r="C1003" s="11"/>
    </row>
    <row r="1004" spans="3:3" x14ac:dyDescent="0.25">
      <c r="C1004" s="11"/>
    </row>
    <row r="1005" spans="3:3" x14ac:dyDescent="0.25">
      <c r="C1005" s="11"/>
    </row>
    <row r="1006" spans="3:3" x14ac:dyDescent="0.25">
      <c r="C1006" s="11"/>
    </row>
    <row r="1007" spans="3:3" x14ac:dyDescent="0.25">
      <c r="C1007" s="11"/>
    </row>
    <row r="1008" spans="3:3" x14ac:dyDescent="0.25">
      <c r="C1008" s="11"/>
    </row>
    <row r="1009" spans="3:3" x14ac:dyDescent="0.25">
      <c r="C1009" s="11"/>
    </row>
    <row r="1010" spans="3:3" x14ac:dyDescent="0.25">
      <c r="C1010" s="11"/>
    </row>
    <row r="1011" spans="3:3" x14ac:dyDescent="0.25">
      <c r="C1011" s="11"/>
    </row>
    <row r="1012" spans="3:3" x14ac:dyDescent="0.25">
      <c r="C1012" s="11"/>
    </row>
    <row r="1013" spans="3:3" x14ac:dyDescent="0.25">
      <c r="C1013" s="11"/>
    </row>
    <row r="1014" spans="3:3" x14ac:dyDescent="0.25">
      <c r="C1014" s="11"/>
    </row>
    <row r="1015" spans="3:3" x14ac:dyDescent="0.25">
      <c r="C1015" s="11"/>
    </row>
    <row r="1016" spans="3:3" x14ac:dyDescent="0.25">
      <c r="C1016" s="11"/>
    </row>
    <row r="1017" spans="3:3" x14ac:dyDescent="0.25">
      <c r="C1017" s="11"/>
    </row>
    <row r="1018" spans="3:3" x14ac:dyDescent="0.25">
      <c r="C1018" s="11"/>
    </row>
    <row r="1019" spans="3:3" x14ac:dyDescent="0.25">
      <c r="C1019" s="11"/>
    </row>
    <row r="1020" spans="3:3" x14ac:dyDescent="0.25">
      <c r="C1020" s="11"/>
    </row>
    <row r="1021" spans="3:3" x14ac:dyDescent="0.25">
      <c r="C1021" s="11"/>
    </row>
    <row r="1022" spans="3:3" x14ac:dyDescent="0.25">
      <c r="C1022" s="11"/>
    </row>
    <row r="1023" spans="3:3" x14ac:dyDescent="0.25">
      <c r="C1023" s="11"/>
    </row>
    <row r="1024" spans="3:3" x14ac:dyDescent="0.25">
      <c r="C1024" s="11"/>
    </row>
    <row r="1025" spans="3:3" x14ac:dyDescent="0.25">
      <c r="C1025" s="11"/>
    </row>
    <row r="1026" spans="3:3" x14ac:dyDescent="0.25">
      <c r="C1026" s="11"/>
    </row>
    <row r="1027" spans="3:3" x14ac:dyDescent="0.25">
      <c r="C1027" s="11"/>
    </row>
    <row r="1028" spans="3:3" x14ac:dyDescent="0.25">
      <c r="C1028" s="11"/>
    </row>
    <row r="1029" spans="3:3" x14ac:dyDescent="0.25">
      <c r="C1029" s="11"/>
    </row>
    <row r="1030" spans="3:3" x14ac:dyDescent="0.25">
      <c r="C1030" s="11"/>
    </row>
    <row r="1031" spans="3:3" x14ac:dyDescent="0.25">
      <c r="C1031" s="11"/>
    </row>
    <row r="1032" spans="3:3" x14ac:dyDescent="0.25">
      <c r="C1032" s="11"/>
    </row>
    <row r="1033" spans="3:3" x14ac:dyDescent="0.25">
      <c r="C1033" s="11"/>
    </row>
    <row r="1034" spans="3:3" x14ac:dyDescent="0.25">
      <c r="C1034" s="11"/>
    </row>
    <row r="1035" spans="3:3" x14ac:dyDescent="0.25">
      <c r="C1035" s="11"/>
    </row>
    <row r="1036" spans="3:3" x14ac:dyDescent="0.25">
      <c r="C1036" s="11"/>
    </row>
    <row r="1037" spans="3:3" x14ac:dyDescent="0.25">
      <c r="C1037" s="11"/>
    </row>
    <row r="1038" spans="3:3" x14ac:dyDescent="0.25">
      <c r="C1038" s="11"/>
    </row>
    <row r="1039" spans="3:3" x14ac:dyDescent="0.25">
      <c r="C1039" s="11"/>
    </row>
    <row r="1040" spans="3:3" x14ac:dyDescent="0.25">
      <c r="C1040" s="11"/>
    </row>
    <row r="1041" spans="3:3" x14ac:dyDescent="0.25">
      <c r="C1041" s="11"/>
    </row>
    <row r="1042" spans="3:3" x14ac:dyDescent="0.25">
      <c r="C1042" s="11"/>
    </row>
    <row r="1043" spans="3:3" x14ac:dyDescent="0.25">
      <c r="C1043" s="11"/>
    </row>
    <row r="1044" spans="3:3" x14ac:dyDescent="0.25">
      <c r="C1044" s="11"/>
    </row>
    <row r="1045" spans="3:3" x14ac:dyDescent="0.25">
      <c r="C1045" s="11"/>
    </row>
    <row r="1046" spans="3:3" x14ac:dyDescent="0.25">
      <c r="C1046" s="11"/>
    </row>
    <row r="1047" spans="3:3" x14ac:dyDescent="0.25">
      <c r="C1047" s="11"/>
    </row>
    <row r="1048" spans="3:3" x14ac:dyDescent="0.25">
      <c r="C1048" s="11"/>
    </row>
    <row r="1049" spans="3:3" x14ac:dyDescent="0.25">
      <c r="C1049" s="11"/>
    </row>
    <row r="1050" spans="3:3" x14ac:dyDescent="0.25">
      <c r="C1050" s="11"/>
    </row>
    <row r="1051" spans="3:3" x14ac:dyDescent="0.25">
      <c r="C1051" s="11"/>
    </row>
    <row r="1052" spans="3:3" x14ac:dyDescent="0.25">
      <c r="C1052" s="11"/>
    </row>
    <row r="1053" spans="3:3" x14ac:dyDescent="0.25">
      <c r="C1053" s="11"/>
    </row>
    <row r="1054" spans="3:3" x14ac:dyDescent="0.25">
      <c r="C1054" s="11"/>
    </row>
    <row r="1055" spans="3:3" x14ac:dyDescent="0.25">
      <c r="C1055" s="11"/>
    </row>
    <row r="1056" spans="3:3" x14ac:dyDescent="0.25">
      <c r="C1056" s="11"/>
    </row>
    <row r="1057" spans="3:3" x14ac:dyDescent="0.25">
      <c r="C1057" s="11"/>
    </row>
    <row r="1058" spans="3:3" x14ac:dyDescent="0.25">
      <c r="C1058" s="11"/>
    </row>
    <row r="1059" spans="3:3" x14ac:dyDescent="0.25">
      <c r="C1059" s="11"/>
    </row>
    <row r="1060" spans="3:3" x14ac:dyDescent="0.25">
      <c r="C1060" s="11"/>
    </row>
    <row r="1061" spans="3:3" x14ac:dyDescent="0.25">
      <c r="C1061" s="11"/>
    </row>
    <row r="1062" spans="3:3" x14ac:dyDescent="0.25">
      <c r="C1062" s="11"/>
    </row>
    <row r="1063" spans="3:3" x14ac:dyDescent="0.25">
      <c r="C1063" s="11"/>
    </row>
    <row r="1064" spans="3:3" x14ac:dyDescent="0.25">
      <c r="C1064" s="11"/>
    </row>
    <row r="1065" spans="3:3" x14ac:dyDescent="0.25">
      <c r="C1065" s="11"/>
    </row>
    <row r="1066" spans="3:3" x14ac:dyDescent="0.25">
      <c r="C1066" s="11"/>
    </row>
    <row r="1067" spans="3:3" x14ac:dyDescent="0.25">
      <c r="C1067" s="11"/>
    </row>
    <row r="1068" spans="3:3" x14ac:dyDescent="0.25">
      <c r="C1068" s="11"/>
    </row>
    <row r="1069" spans="3:3" x14ac:dyDescent="0.25">
      <c r="C1069" s="11"/>
    </row>
    <row r="1070" spans="3:3" x14ac:dyDescent="0.25">
      <c r="C1070" s="11"/>
    </row>
    <row r="1071" spans="3:3" x14ac:dyDescent="0.25">
      <c r="C1071" s="11"/>
    </row>
    <row r="1072" spans="3:3" x14ac:dyDescent="0.25">
      <c r="C1072" s="11"/>
    </row>
    <row r="1073" spans="3:3" x14ac:dyDescent="0.25">
      <c r="C1073" s="11"/>
    </row>
    <row r="1074" spans="3:3" x14ac:dyDescent="0.25">
      <c r="C1074" s="11"/>
    </row>
    <row r="1075" spans="3:3" x14ac:dyDescent="0.25">
      <c r="C1075" s="11"/>
    </row>
    <row r="1076" spans="3:3" x14ac:dyDescent="0.25">
      <c r="C1076" s="11"/>
    </row>
    <row r="1077" spans="3:3" x14ac:dyDescent="0.25">
      <c r="C1077" s="11"/>
    </row>
    <row r="1078" spans="3:3" x14ac:dyDescent="0.25">
      <c r="C1078" s="11"/>
    </row>
    <row r="1079" spans="3:3" x14ac:dyDescent="0.25">
      <c r="C1079" s="11"/>
    </row>
    <row r="1080" spans="3:3" x14ac:dyDescent="0.25">
      <c r="C1080" s="11"/>
    </row>
    <row r="1081" spans="3:3" x14ac:dyDescent="0.25">
      <c r="C1081" s="11"/>
    </row>
    <row r="1082" spans="3:3" x14ac:dyDescent="0.25">
      <c r="C1082" s="11"/>
    </row>
    <row r="1083" spans="3:3" x14ac:dyDescent="0.25">
      <c r="C1083" s="11"/>
    </row>
    <row r="1084" spans="3:3" x14ac:dyDescent="0.25">
      <c r="C1084" s="11"/>
    </row>
    <row r="1085" spans="3:3" x14ac:dyDescent="0.25">
      <c r="C1085" s="11"/>
    </row>
    <row r="1086" spans="3:3" x14ac:dyDescent="0.25">
      <c r="C1086" s="11"/>
    </row>
    <row r="1087" spans="3:3" x14ac:dyDescent="0.25">
      <c r="C1087" s="11"/>
    </row>
    <row r="1088" spans="3:3" x14ac:dyDescent="0.25">
      <c r="C1088" s="11"/>
    </row>
    <row r="1089" spans="3:3" x14ac:dyDescent="0.25">
      <c r="C1089" s="11"/>
    </row>
    <row r="1090" spans="3:3" x14ac:dyDescent="0.25">
      <c r="C1090" s="11"/>
    </row>
    <row r="1091" spans="3:3" x14ac:dyDescent="0.25">
      <c r="C1091" s="11"/>
    </row>
    <row r="1092" spans="3:3" x14ac:dyDescent="0.25">
      <c r="C1092" s="11"/>
    </row>
    <row r="1093" spans="3:3" x14ac:dyDescent="0.25">
      <c r="C1093" s="11"/>
    </row>
    <row r="1094" spans="3:3" x14ac:dyDescent="0.25">
      <c r="C1094" s="11"/>
    </row>
    <row r="1095" spans="3:3" x14ac:dyDescent="0.25">
      <c r="C1095" s="11"/>
    </row>
    <row r="1096" spans="3:3" x14ac:dyDescent="0.25">
      <c r="C1096" s="11"/>
    </row>
    <row r="1097" spans="3:3" x14ac:dyDescent="0.25">
      <c r="C1097" s="11"/>
    </row>
    <row r="1098" spans="3:3" x14ac:dyDescent="0.25">
      <c r="C1098" s="11"/>
    </row>
    <row r="1099" spans="3:3" x14ac:dyDescent="0.25">
      <c r="C1099" s="11"/>
    </row>
    <row r="1100" spans="3:3" x14ac:dyDescent="0.25">
      <c r="C1100" s="11"/>
    </row>
    <row r="1101" spans="3:3" x14ac:dyDescent="0.25">
      <c r="C1101" s="11"/>
    </row>
    <row r="1102" spans="3:3" x14ac:dyDescent="0.25">
      <c r="C1102" s="11"/>
    </row>
    <row r="1103" spans="3:3" x14ac:dyDescent="0.25">
      <c r="C1103" s="11"/>
    </row>
    <row r="1104" spans="3:3" x14ac:dyDescent="0.25">
      <c r="C1104" s="11"/>
    </row>
    <row r="1105" spans="3:3" x14ac:dyDescent="0.25">
      <c r="C1105" s="11"/>
    </row>
    <row r="1106" spans="3:3" x14ac:dyDescent="0.25">
      <c r="C1106" s="11"/>
    </row>
    <row r="1107" spans="3:3" x14ac:dyDescent="0.25">
      <c r="C1107" s="11"/>
    </row>
    <row r="1108" spans="3:3" x14ac:dyDescent="0.25">
      <c r="C1108" s="11"/>
    </row>
    <row r="1109" spans="3:3" x14ac:dyDescent="0.25">
      <c r="C1109" s="11"/>
    </row>
    <row r="1110" spans="3:3" x14ac:dyDescent="0.25">
      <c r="C1110" s="11"/>
    </row>
    <row r="1111" spans="3:3" x14ac:dyDescent="0.25">
      <c r="C1111" s="11"/>
    </row>
    <row r="1112" spans="3:3" x14ac:dyDescent="0.25">
      <c r="C1112" s="11"/>
    </row>
    <row r="1113" spans="3:3" x14ac:dyDescent="0.25">
      <c r="C1113" s="11"/>
    </row>
    <row r="1114" spans="3:3" x14ac:dyDescent="0.25">
      <c r="C1114" s="11"/>
    </row>
    <row r="1115" spans="3:3" x14ac:dyDescent="0.25">
      <c r="C1115" s="11"/>
    </row>
    <row r="1116" spans="3:3" x14ac:dyDescent="0.25">
      <c r="C1116" s="11"/>
    </row>
    <row r="1117" spans="3:3" x14ac:dyDescent="0.25">
      <c r="C1117" s="11"/>
    </row>
    <row r="1118" spans="3:3" x14ac:dyDescent="0.25">
      <c r="C1118" s="11"/>
    </row>
    <row r="1119" spans="3:3" x14ac:dyDescent="0.25">
      <c r="C1119" s="11"/>
    </row>
    <row r="1120" spans="3:3" x14ac:dyDescent="0.25">
      <c r="C1120" s="11"/>
    </row>
    <row r="1121" spans="3:3" x14ac:dyDescent="0.25">
      <c r="C1121" s="11"/>
    </row>
    <row r="1122" spans="3:3" x14ac:dyDescent="0.25">
      <c r="C1122" s="11"/>
    </row>
    <row r="1123" spans="3:3" x14ac:dyDescent="0.25">
      <c r="C1123" s="11"/>
    </row>
    <row r="1124" spans="3:3" x14ac:dyDescent="0.25">
      <c r="C1124" s="11"/>
    </row>
    <row r="1125" spans="3:3" x14ac:dyDescent="0.25">
      <c r="C1125" s="11"/>
    </row>
    <row r="1126" spans="3:3" x14ac:dyDescent="0.25">
      <c r="C1126" s="11"/>
    </row>
    <row r="1127" spans="3:3" x14ac:dyDescent="0.25">
      <c r="C1127" s="11"/>
    </row>
    <row r="1128" spans="3:3" x14ac:dyDescent="0.25">
      <c r="C1128" s="11"/>
    </row>
    <row r="1129" spans="3:3" x14ac:dyDescent="0.25">
      <c r="C1129" s="11"/>
    </row>
    <row r="1130" spans="3:3" x14ac:dyDescent="0.25">
      <c r="C1130" s="11"/>
    </row>
    <row r="1131" spans="3:3" x14ac:dyDescent="0.25">
      <c r="C1131" s="11"/>
    </row>
    <row r="1132" spans="3:3" x14ac:dyDescent="0.25">
      <c r="C1132" s="11"/>
    </row>
    <row r="1133" spans="3:3" x14ac:dyDescent="0.25">
      <c r="C1133" s="11"/>
    </row>
    <row r="1134" spans="3:3" x14ac:dyDescent="0.25">
      <c r="C1134" s="11"/>
    </row>
    <row r="1135" spans="3:3" x14ac:dyDescent="0.25">
      <c r="C1135" s="11"/>
    </row>
    <row r="1136" spans="3:3" x14ac:dyDescent="0.25">
      <c r="C1136" s="11"/>
    </row>
    <row r="1137" spans="3:3" x14ac:dyDescent="0.25">
      <c r="C1137" s="11"/>
    </row>
    <row r="1138" spans="3:3" x14ac:dyDescent="0.25">
      <c r="C1138" s="11"/>
    </row>
    <row r="1139" spans="3:3" x14ac:dyDescent="0.25">
      <c r="C1139" s="11"/>
    </row>
    <row r="1140" spans="3:3" x14ac:dyDescent="0.25">
      <c r="C1140" s="11"/>
    </row>
    <row r="1141" spans="3:3" x14ac:dyDescent="0.25">
      <c r="C1141" s="11"/>
    </row>
    <row r="1142" spans="3:3" x14ac:dyDescent="0.25">
      <c r="C1142" s="11"/>
    </row>
    <row r="1143" spans="3:3" x14ac:dyDescent="0.25">
      <c r="C1143" s="11"/>
    </row>
    <row r="1144" spans="3:3" x14ac:dyDescent="0.25">
      <c r="C1144" s="11"/>
    </row>
    <row r="1145" spans="3:3" x14ac:dyDescent="0.25">
      <c r="C1145" s="11"/>
    </row>
    <row r="1146" spans="3:3" x14ac:dyDescent="0.25">
      <c r="C1146" s="11"/>
    </row>
    <row r="1147" spans="3:3" x14ac:dyDescent="0.25">
      <c r="C1147" s="11"/>
    </row>
    <row r="1148" spans="3:3" x14ac:dyDescent="0.25">
      <c r="C1148" s="11"/>
    </row>
    <row r="1149" spans="3:3" x14ac:dyDescent="0.25">
      <c r="C1149" s="11"/>
    </row>
    <row r="1150" spans="3:3" x14ac:dyDescent="0.25">
      <c r="C1150" s="11"/>
    </row>
    <row r="1151" spans="3:3" x14ac:dyDescent="0.25">
      <c r="C1151" s="11"/>
    </row>
    <row r="1152" spans="3:3" x14ac:dyDescent="0.25">
      <c r="C1152" s="11"/>
    </row>
    <row r="1153" spans="3:3" x14ac:dyDescent="0.25">
      <c r="C1153" s="11"/>
    </row>
    <row r="1154" spans="3:3" x14ac:dyDescent="0.25">
      <c r="C1154" s="11"/>
    </row>
    <row r="1155" spans="3:3" x14ac:dyDescent="0.25">
      <c r="C1155" s="11"/>
    </row>
    <row r="1156" spans="3:3" x14ac:dyDescent="0.25">
      <c r="C1156" s="11"/>
    </row>
    <row r="1157" spans="3:3" x14ac:dyDescent="0.25">
      <c r="C1157" s="11"/>
    </row>
    <row r="1158" spans="3:3" x14ac:dyDescent="0.25">
      <c r="C1158" s="11"/>
    </row>
    <row r="1159" spans="3:3" x14ac:dyDescent="0.25">
      <c r="C1159" s="11"/>
    </row>
    <row r="1160" spans="3:3" x14ac:dyDescent="0.25">
      <c r="C1160" s="11"/>
    </row>
    <row r="1161" spans="3:3" x14ac:dyDescent="0.25">
      <c r="C1161" s="11"/>
    </row>
    <row r="1162" spans="3:3" x14ac:dyDescent="0.25">
      <c r="C1162" s="11"/>
    </row>
    <row r="1163" spans="3:3" x14ac:dyDescent="0.25">
      <c r="C1163" s="11"/>
    </row>
    <row r="1164" spans="3:3" x14ac:dyDescent="0.25">
      <c r="C1164" s="11"/>
    </row>
    <row r="1165" spans="3:3" x14ac:dyDescent="0.25">
      <c r="C1165" s="11"/>
    </row>
    <row r="1166" spans="3:3" x14ac:dyDescent="0.25">
      <c r="C1166" s="11"/>
    </row>
    <row r="1167" spans="3:3" x14ac:dyDescent="0.25">
      <c r="C1167" s="11"/>
    </row>
    <row r="1168" spans="3:3" x14ac:dyDescent="0.25">
      <c r="C1168" s="11"/>
    </row>
    <row r="1169" spans="3:3" x14ac:dyDescent="0.25">
      <c r="C1169" s="11"/>
    </row>
    <row r="1170" spans="3:3" x14ac:dyDescent="0.25">
      <c r="C1170" s="11"/>
    </row>
    <row r="1171" spans="3:3" x14ac:dyDescent="0.25">
      <c r="C1171" s="11"/>
    </row>
    <row r="1172" spans="3:3" x14ac:dyDescent="0.25">
      <c r="C1172" s="11"/>
    </row>
    <row r="1173" spans="3:3" x14ac:dyDescent="0.25">
      <c r="C1173" s="11"/>
    </row>
    <row r="1174" spans="3:3" x14ac:dyDescent="0.25">
      <c r="C1174" s="11"/>
    </row>
    <row r="1175" spans="3:3" x14ac:dyDescent="0.25">
      <c r="C1175" s="11"/>
    </row>
    <row r="1176" spans="3:3" x14ac:dyDescent="0.25">
      <c r="C1176" s="11"/>
    </row>
    <row r="1177" spans="3:3" x14ac:dyDescent="0.25">
      <c r="C1177" s="11"/>
    </row>
    <row r="1178" spans="3:3" x14ac:dyDescent="0.25">
      <c r="C1178" s="11"/>
    </row>
    <row r="1179" spans="3:3" x14ac:dyDescent="0.25">
      <c r="C1179" s="11"/>
    </row>
    <row r="1180" spans="3:3" x14ac:dyDescent="0.25">
      <c r="C1180" s="11"/>
    </row>
    <row r="1181" spans="3:3" x14ac:dyDescent="0.25">
      <c r="C1181" s="11"/>
    </row>
    <row r="1182" spans="3:3" x14ac:dyDescent="0.25">
      <c r="C1182" s="11"/>
    </row>
    <row r="1183" spans="3:3" x14ac:dyDescent="0.25">
      <c r="C1183" s="11"/>
    </row>
    <row r="1184" spans="3:3" x14ac:dyDescent="0.25">
      <c r="C1184" s="11"/>
    </row>
    <row r="1185" spans="3:3" x14ac:dyDescent="0.25">
      <c r="C1185" s="11"/>
    </row>
    <row r="1186" spans="3:3" x14ac:dyDescent="0.25">
      <c r="C1186" s="11"/>
    </row>
    <row r="1187" spans="3:3" x14ac:dyDescent="0.25">
      <c r="C1187" s="11"/>
    </row>
    <row r="1188" spans="3:3" x14ac:dyDescent="0.25">
      <c r="C1188" s="11"/>
    </row>
    <row r="1189" spans="3:3" x14ac:dyDescent="0.25">
      <c r="C1189" s="11"/>
    </row>
    <row r="1190" spans="3:3" x14ac:dyDescent="0.25">
      <c r="C1190" s="11"/>
    </row>
    <row r="1191" spans="3:3" x14ac:dyDescent="0.25">
      <c r="C1191" s="11"/>
    </row>
    <row r="1192" spans="3:3" x14ac:dyDescent="0.25">
      <c r="C1192" s="11"/>
    </row>
    <row r="1193" spans="3:3" x14ac:dyDescent="0.25">
      <c r="C1193" s="11"/>
    </row>
    <row r="1194" spans="3:3" x14ac:dyDescent="0.25">
      <c r="C1194" s="11"/>
    </row>
    <row r="1195" spans="3:3" x14ac:dyDescent="0.25">
      <c r="C1195" s="11"/>
    </row>
    <row r="1196" spans="3:3" x14ac:dyDescent="0.25">
      <c r="C1196" s="11"/>
    </row>
    <row r="1197" spans="3:3" x14ac:dyDescent="0.25">
      <c r="C1197" s="11"/>
    </row>
    <row r="1198" spans="3:3" x14ac:dyDescent="0.25">
      <c r="C1198" s="11"/>
    </row>
    <row r="1199" spans="3:3" x14ac:dyDescent="0.25">
      <c r="C1199" s="11"/>
    </row>
    <row r="1200" spans="3:3" x14ac:dyDescent="0.25">
      <c r="C1200" s="11"/>
    </row>
    <row r="1201" spans="3:3" x14ac:dyDescent="0.25">
      <c r="C1201" s="11"/>
    </row>
    <row r="1202" spans="3:3" x14ac:dyDescent="0.25">
      <c r="C1202" s="11"/>
    </row>
    <row r="1203" spans="3:3" x14ac:dyDescent="0.25">
      <c r="C1203" s="11"/>
    </row>
    <row r="1204" spans="3:3" x14ac:dyDescent="0.25">
      <c r="C1204" s="11"/>
    </row>
    <row r="1205" spans="3:3" x14ac:dyDescent="0.25">
      <c r="C1205" s="11"/>
    </row>
    <row r="1206" spans="3:3" x14ac:dyDescent="0.25">
      <c r="C1206" s="11"/>
    </row>
    <row r="1207" spans="3:3" x14ac:dyDescent="0.25">
      <c r="C1207" s="11"/>
    </row>
    <row r="1208" spans="3:3" x14ac:dyDescent="0.25">
      <c r="C1208" s="11"/>
    </row>
    <row r="1209" spans="3:3" x14ac:dyDescent="0.25">
      <c r="C1209" s="11"/>
    </row>
    <row r="1210" spans="3:3" x14ac:dyDescent="0.25">
      <c r="C1210" s="11"/>
    </row>
    <row r="1211" spans="3:3" x14ac:dyDescent="0.25">
      <c r="C1211" s="11"/>
    </row>
    <row r="1212" spans="3:3" x14ac:dyDescent="0.25">
      <c r="C1212" s="11"/>
    </row>
    <row r="1213" spans="3:3" x14ac:dyDescent="0.25">
      <c r="C1213" s="11"/>
    </row>
    <row r="1214" spans="3:3" x14ac:dyDescent="0.25">
      <c r="C1214" s="11"/>
    </row>
    <row r="1215" spans="3:3" x14ac:dyDescent="0.25">
      <c r="C1215" s="11"/>
    </row>
    <row r="1216" spans="3:3" x14ac:dyDescent="0.25">
      <c r="C1216" s="11"/>
    </row>
    <row r="1217" spans="3:3" x14ac:dyDescent="0.25">
      <c r="C1217" s="11"/>
    </row>
    <row r="1218" spans="3:3" x14ac:dyDescent="0.25">
      <c r="C1218" s="11"/>
    </row>
    <row r="1219" spans="3:3" x14ac:dyDescent="0.25">
      <c r="C1219" s="11"/>
    </row>
    <row r="1220" spans="3:3" x14ac:dyDescent="0.25">
      <c r="C1220" s="11"/>
    </row>
    <row r="1221" spans="3:3" x14ac:dyDescent="0.25">
      <c r="C1221" s="11"/>
    </row>
    <row r="1222" spans="3:3" x14ac:dyDescent="0.25">
      <c r="C1222" s="11"/>
    </row>
    <row r="1223" spans="3:3" x14ac:dyDescent="0.25">
      <c r="C1223" s="11"/>
    </row>
    <row r="1224" spans="3:3" x14ac:dyDescent="0.25">
      <c r="C1224" s="11"/>
    </row>
    <row r="1225" spans="3:3" x14ac:dyDescent="0.25">
      <c r="C1225" s="11"/>
    </row>
    <row r="1226" spans="3:3" x14ac:dyDescent="0.25">
      <c r="C1226" s="11"/>
    </row>
    <row r="1227" spans="3:3" x14ac:dyDescent="0.25">
      <c r="C1227" s="11"/>
    </row>
    <row r="1228" spans="3:3" x14ac:dyDescent="0.25">
      <c r="C1228" s="11"/>
    </row>
    <row r="1229" spans="3:3" x14ac:dyDescent="0.25">
      <c r="C1229" s="11"/>
    </row>
    <row r="1230" spans="3:3" x14ac:dyDescent="0.25">
      <c r="C1230" s="11"/>
    </row>
    <row r="1231" spans="3:3" x14ac:dyDescent="0.25">
      <c r="C1231" s="11"/>
    </row>
    <row r="1232" spans="3:3" x14ac:dyDescent="0.25">
      <c r="C1232" s="11"/>
    </row>
    <row r="1233" spans="3:3" x14ac:dyDescent="0.25">
      <c r="C1233" s="11"/>
    </row>
    <row r="1234" spans="3:3" x14ac:dyDescent="0.25">
      <c r="C1234" s="11"/>
    </row>
    <row r="1235" spans="3:3" x14ac:dyDescent="0.25">
      <c r="C1235" s="11"/>
    </row>
    <row r="1236" spans="3:3" x14ac:dyDescent="0.25">
      <c r="C1236" s="11"/>
    </row>
    <row r="1237" spans="3:3" x14ac:dyDescent="0.25">
      <c r="C1237" s="11"/>
    </row>
    <row r="1238" spans="3:3" x14ac:dyDescent="0.25">
      <c r="C1238" s="11"/>
    </row>
    <row r="1239" spans="3:3" x14ac:dyDescent="0.25">
      <c r="C1239" s="11"/>
    </row>
    <row r="1240" spans="3:3" x14ac:dyDescent="0.25">
      <c r="C1240" s="11"/>
    </row>
    <row r="1241" spans="3:3" x14ac:dyDescent="0.25">
      <c r="C1241" s="11"/>
    </row>
    <row r="1242" spans="3:3" x14ac:dyDescent="0.25">
      <c r="C1242" s="11"/>
    </row>
    <row r="1243" spans="3:3" x14ac:dyDescent="0.25">
      <c r="C1243" s="11"/>
    </row>
    <row r="1244" spans="3:3" x14ac:dyDescent="0.25">
      <c r="C1244" s="11"/>
    </row>
    <row r="1245" spans="3:3" x14ac:dyDescent="0.25">
      <c r="C1245" s="11"/>
    </row>
    <row r="1246" spans="3:3" x14ac:dyDescent="0.25">
      <c r="C1246" s="11"/>
    </row>
    <row r="1247" spans="3:3" x14ac:dyDescent="0.25">
      <c r="C1247" s="11"/>
    </row>
    <row r="1248" spans="3:3" x14ac:dyDescent="0.25">
      <c r="C1248" s="11"/>
    </row>
    <row r="1249" spans="3:3" x14ac:dyDescent="0.25">
      <c r="C1249" s="11"/>
    </row>
    <row r="1250" spans="3:3" x14ac:dyDescent="0.25">
      <c r="C1250" s="11"/>
    </row>
    <row r="1251" spans="3:3" x14ac:dyDescent="0.25">
      <c r="C1251" s="11"/>
    </row>
    <row r="1252" spans="3:3" x14ac:dyDescent="0.25">
      <c r="C1252" s="11"/>
    </row>
    <row r="1253" spans="3:3" x14ac:dyDescent="0.25">
      <c r="C1253" s="11"/>
    </row>
    <row r="1254" spans="3:3" x14ac:dyDescent="0.25">
      <c r="C1254" s="11"/>
    </row>
    <row r="1255" spans="3:3" x14ac:dyDescent="0.25">
      <c r="C1255" s="11"/>
    </row>
    <row r="1256" spans="3:3" x14ac:dyDescent="0.25">
      <c r="C1256" s="11"/>
    </row>
    <row r="1257" spans="3:3" x14ac:dyDescent="0.25">
      <c r="C1257" s="11"/>
    </row>
    <row r="1258" spans="3:3" x14ac:dyDescent="0.25">
      <c r="C1258" s="11"/>
    </row>
    <row r="1259" spans="3:3" x14ac:dyDescent="0.25">
      <c r="C1259" s="11"/>
    </row>
    <row r="1260" spans="3:3" x14ac:dyDescent="0.25">
      <c r="C1260" s="11"/>
    </row>
    <row r="1261" spans="3:3" x14ac:dyDescent="0.25">
      <c r="C1261" s="11"/>
    </row>
    <row r="1262" spans="3:3" x14ac:dyDescent="0.25">
      <c r="C1262" s="11"/>
    </row>
    <row r="1263" spans="3:3" x14ac:dyDescent="0.25">
      <c r="C1263" s="11"/>
    </row>
    <row r="1264" spans="3:3" x14ac:dyDescent="0.25">
      <c r="C1264" s="11"/>
    </row>
    <row r="1265" spans="3:3" x14ac:dyDescent="0.25">
      <c r="C1265" s="11"/>
    </row>
    <row r="1266" spans="3:3" x14ac:dyDescent="0.25">
      <c r="C1266" s="11"/>
    </row>
    <row r="1267" spans="3:3" x14ac:dyDescent="0.25">
      <c r="C1267" s="11"/>
    </row>
    <row r="1268" spans="3:3" x14ac:dyDescent="0.25">
      <c r="C1268" s="11"/>
    </row>
    <row r="1269" spans="3:3" x14ac:dyDescent="0.25">
      <c r="C1269" s="11"/>
    </row>
    <row r="1270" spans="3:3" x14ac:dyDescent="0.25">
      <c r="C1270" s="11"/>
    </row>
    <row r="1271" spans="3:3" x14ac:dyDescent="0.25">
      <c r="C1271" s="11"/>
    </row>
    <row r="1272" spans="3:3" x14ac:dyDescent="0.25">
      <c r="C1272" s="11"/>
    </row>
    <row r="1273" spans="3:3" x14ac:dyDescent="0.25">
      <c r="C1273" s="11"/>
    </row>
    <row r="1274" spans="3:3" x14ac:dyDescent="0.25">
      <c r="C1274" s="11"/>
    </row>
    <row r="1275" spans="3:3" x14ac:dyDescent="0.25">
      <c r="C1275" s="11"/>
    </row>
    <row r="1276" spans="3:3" x14ac:dyDescent="0.25">
      <c r="C1276" s="11"/>
    </row>
    <row r="1277" spans="3:3" x14ac:dyDescent="0.25">
      <c r="C1277" s="11"/>
    </row>
    <row r="1278" spans="3:3" x14ac:dyDescent="0.25">
      <c r="C1278" s="11"/>
    </row>
    <row r="1279" spans="3:3" x14ac:dyDescent="0.25">
      <c r="C1279" s="11"/>
    </row>
    <row r="1280" spans="3:3" x14ac:dyDescent="0.25">
      <c r="C1280" s="11"/>
    </row>
    <row r="1281" spans="3:3" x14ac:dyDescent="0.25">
      <c r="C1281" s="11"/>
    </row>
    <row r="1282" spans="3:3" x14ac:dyDescent="0.25">
      <c r="C1282" s="11"/>
    </row>
    <row r="1283" spans="3:3" x14ac:dyDescent="0.25">
      <c r="C1283" s="11"/>
    </row>
    <row r="1284" spans="3:3" x14ac:dyDescent="0.25">
      <c r="C1284" s="11"/>
    </row>
    <row r="1285" spans="3:3" x14ac:dyDescent="0.25">
      <c r="C1285" s="11"/>
    </row>
    <row r="1286" spans="3:3" x14ac:dyDescent="0.25">
      <c r="C1286" s="11"/>
    </row>
    <row r="1287" spans="3:3" x14ac:dyDescent="0.25">
      <c r="C1287" s="11"/>
    </row>
    <row r="1288" spans="3:3" x14ac:dyDescent="0.25">
      <c r="C1288" s="11"/>
    </row>
    <row r="1289" spans="3:3" x14ac:dyDescent="0.25">
      <c r="C1289" s="11"/>
    </row>
    <row r="1290" spans="3:3" x14ac:dyDescent="0.25">
      <c r="C1290" s="11"/>
    </row>
    <row r="1291" spans="3:3" x14ac:dyDescent="0.25">
      <c r="C1291" s="11"/>
    </row>
    <row r="1292" spans="3:3" x14ac:dyDescent="0.25">
      <c r="C1292" s="11"/>
    </row>
    <row r="1293" spans="3:3" x14ac:dyDescent="0.25">
      <c r="C1293" s="11"/>
    </row>
    <row r="1294" spans="3:3" x14ac:dyDescent="0.25">
      <c r="C1294" s="11"/>
    </row>
    <row r="1295" spans="3:3" x14ac:dyDescent="0.25">
      <c r="C1295" s="11"/>
    </row>
    <row r="1296" spans="3:3" x14ac:dyDescent="0.25">
      <c r="C1296" s="11"/>
    </row>
    <row r="1297" spans="3:3" x14ac:dyDescent="0.25">
      <c r="C1297" s="11"/>
    </row>
    <row r="1298" spans="3:3" x14ac:dyDescent="0.25">
      <c r="C1298" s="11"/>
    </row>
    <row r="1299" spans="3:3" x14ac:dyDescent="0.25">
      <c r="C1299" s="11"/>
    </row>
    <row r="1300" spans="3:3" x14ac:dyDescent="0.25">
      <c r="C1300" s="11"/>
    </row>
    <row r="1301" spans="3:3" x14ac:dyDescent="0.25">
      <c r="C1301" s="11"/>
    </row>
    <row r="1302" spans="3:3" x14ac:dyDescent="0.25">
      <c r="C1302" s="11"/>
    </row>
    <row r="1303" spans="3:3" x14ac:dyDescent="0.25">
      <c r="C1303" s="11"/>
    </row>
    <row r="1304" spans="3:3" x14ac:dyDescent="0.25">
      <c r="C1304" s="11"/>
    </row>
    <row r="1305" spans="3:3" x14ac:dyDescent="0.25">
      <c r="C1305" s="11"/>
    </row>
    <row r="1306" spans="3:3" x14ac:dyDescent="0.25">
      <c r="C1306" s="11"/>
    </row>
    <row r="1307" spans="3:3" x14ac:dyDescent="0.25">
      <c r="C1307" s="11"/>
    </row>
    <row r="1308" spans="3:3" x14ac:dyDescent="0.25">
      <c r="C1308" s="11"/>
    </row>
    <row r="1309" spans="3:3" x14ac:dyDescent="0.25">
      <c r="C1309" s="11"/>
    </row>
    <row r="1310" spans="3:3" x14ac:dyDescent="0.25">
      <c r="C1310" s="11"/>
    </row>
    <row r="1311" spans="3:3" x14ac:dyDescent="0.25">
      <c r="C1311" s="11"/>
    </row>
    <row r="1312" spans="3:3" x14ac:dyDescent="0.25">
      <c r="C1312" s="11"/>
    </row>
    <row r="1313" spans="3:3" x14ac:dyDescent="0.25">
      <c r="C1313" s="11"/>
    </row>
    <row r="1314" spans="3:3" x14ac:dyDescent="0.25">
      <c r="C1314" s="11"/>
    </row>
    <row r="1315" spans="3:3" x14ac:dyDescent="0.25">
      <c r="C1315" s="11"/>
    </row>
    <row r="1316" spans="3:3" x14ac:dyDescent="0.25">
      <c r="C1316" s="11"/>
    </row>
    <row r="1317" spans="3:3" x14ac:dyDescent="0.25">
      <c r="C1317" s="11"/>
    </row>
    <row r="1318" spans="3:3" x14ac:dyDescent="0.25">
      <c r="C1318" s="11"/>
    </row>
    <row r="1319" spans="3:3" x14ac:dyDescent="0.25">
      <c r="C1319" s="11"/>
    </row>
    <row r="1320" spans="3:3" x14ac:dyDescent="0.25">
      <c r="C1320" s="11"/>
    </row>
    <row r="1321" spans="3:3" x14ac:dyDescent="0.25">
      <c r="C1321" s="11"/>
    </row>
    <row r="1322" spans="3:3" x14ac:dyDescent="0.25">
      <c r="C1322" s="11"/>
    </row>
    <row r="1323" spans="3:3" x14ac:dyDescent="0.25">
      <c r="C1323" s="11"/>
    </row>
    <row r="1324" spans="3:3" x14ac:dyDescent="0.25">
      <c r="C1324" s="11"/>
    </row>
    <row r="1325" spans="3:3" x14ac:dyDescent="0.25">
      <c r="C1325" s="11"/>
    </row>
    <row r="1326" spans="3:3" x14ac:dyDescent="0.25">
      <c r="C1326" s="11"/>
    </row>
    <row r="1327" spans="3:3" x14ac:dyDescent="0.25">
      <c r="C1327" s="11"/>
    </row>
    <row r="1328" spans="3:3" x14ac:dyDescent="0.25">
      <c r="C1328" s="11"/>
    </row>
    <row r="1329" spans="3:3" x14ac:dyDescent="0.25">
      <c r="C1329" s="11"/>
    </row>
    <row r="1330" spans="3:3" x14ac:dyDescent="0.25">
      <c r="C1330" s="11"/>
    </row>
    <row r="1331" spans="3:3" x14ac:dyDescent="0.25">
      <c r="C1331" s="11"/>
    </row>
    <row r="1332" spans="3:3" x14ac:dyDescent="0.25">
      <c r="C1332" s="11"/>
    </row>
    <row r="1333" spans="3:3" x14ac:dyDescent="0.25">
      <c r="C1333" s="11"/>
    </row>
    <row r="1334" spans="3:3" x14ac:dyDescent="0.25">
      <c r="C1334" s="11"/>
    </row>
    <row r="1335" spans="3:3" x14ac:dyDescent="0.25">
      <c r="C1335" s="11"/>
    </row>
    <row r="1336" spans="3:3" x14ac:dyDescent="0.25">
      <c r="C1336" s="11"/>
    </row>
    <row r="1337" spans="3:3" x14ac:dyDescent="0.25">
      <c r="C1337" s="11"/>
    </row>
    <row r="1338" spans="3:3" x14ac:dyDescent="0.25">
      <c r="C1338" s="11"/>
    </row>
    <row r="1339" spans="3:3" x14ac:dyDescent="0.25">
      <c r="C1339" s="11"/>
    </row>
    <row r="1340" spans="3:3" x14ac:dyDescent="0.25">
      <c r="C1340" s="11"/>
    </row>
    <row r="1341" spans="3:3" x14ac:dyDescent="0.25">
      <c r="C1341" s="11"/>
    </row>
    <row r="1342" spans="3:3" x14ac:dyDescent="0.25">
      <c r="C1342" s="11"/>
    </row>
    <row r="1343" spans="3:3" x14ac:dyDescent="0.25">
      <c r="C1343" s="11"/>
    </row>
    <row r="1344" spans="3:3" x14ac:dyDescent="0.25">
      <c r="C1344" s="11"/>
    </row>
    <row r="1345" spans="3:3" x14ac:dyDescent="0.25">
      <c r="C1345" s="11"/>
    </row>
    <row r="1346" spans="3:3" x14ac:dyDescent="0.25">
      <c r="C1346" s="11"/>
    </row>
    <row r="1347" spans="3:3" x14ac:dyDescent="0.25">
      <c r="C1347" s="11"/>
    </row>
    <row r="1348" spans="3:3" x14ac:dyDescent="0.25">
      <c r="C1348" s="11"/>
    </row>
    <row r="1349" spans="3:3" x14ac:dyDescent="0.25">
      <c r="C1349" s="11"/>
    </row>
    <row r="1350" spans="3:3" x14ac:dyDescent="0.25">
      <c r="C1350" s="11"/>
    </row>
    <row r="1351" spans="3:3" x14ac:dyDescent="0.25">
      <c r="C1351" s="11"/>
    </row>
    <row r="1352" spans="3:3" x14ac:dyDescent="0.25">
      <c r="C1352" s="11"/>
    </row>
    <row r="1353" spans="3:3" x14ac:dyDescent="0.25">
      <c r="C1353" s="11"/>
    </row>
    <row r="1354" spans="3:3" x14ac:dyDescent="0.25">
      <c r="C1354" s="11"/>
    </row>
    <row r="1355" spans="3:3" x14ac:dyDescent="0.25">
      <c r="C1355" s="11"/>
    </row>
    <row r="1356" spans="3:3" x14ac:dyDescent="0.25">
      <c r="C1356" s="11"/>
    </row>
    <row r="1357" spans="3:3" x14ac:dyDescent="0.25">
      <c r="C1357" s="11"/>
    </row>
    <row r="1358" spans="3:3" x14ac:dyDescent="0.25">
      <c r="C1358" s="11"/>
    </row>
    <row r="1359" spans="3:3" x14ac:dyDescent="0.25">
      <c r="C1359" s="11"/>
    </row>
    <row r="1360" spans="3:3" x14ac:dyDescent="0.25">
      <c r="C1360" s="11"/>
    </row>
    <row r="1361" spans="3:3" x14ac:dyDescent="0.25">
      <c r="C1361" s="11"/>
    </row>
    <row r="1362" spans="3:3" x14ac:dyDescent="0.25">
      <c r="C1362" s="11"/>
    </row>
    <row r="1363" spans="3:3" x14ac:dyDescent="0.25">
      <c r="C1363" s="11"/>
    </row>
    <row r="1364" spans="3:3" x14ac:dyDescent="0.25">
      <c r="C1364" s="11"/>
    </row>
    <row r="1365" spans="3:3" x14ac:dyDescent="0.25">
      <c r="C1365" s="11"/>
    </row>
    <row r="1366" spans="3:3" x14ac:dyDescent="0.25">
      <c r="C1366" s="11"/>
    </row>
    <row r="1367" spans="3:3" x14ac:dyDescent="0.25">
      <c r="C1367" s="11"/>
    </row>
    <row r="1368" spans="3:3" x14ac:dyDescent="0.25">
      <c r="C1368" s="11"/>
    </row>
    <row r="1369" spans="3:3" x14ac:dyDescent="0.25">
      <c r="C1369" s="11"/>
    </row>
    <row r="1370" spans="3:3" x14ac:dyDescent="0.25">
      <c r="C1370" s="11"/>
    </row>
    <row r="1371" spans="3:3" x14ac:dyDescent="0.25">
      <c r="C1371" s="11"/>
    </row>
    <row r="1372" spans="3:3" x14ac:dyDescent="0.25">
      <c r="C1372" s="11"/>
    </row>
    <row r="1373" spans="3:3" x14ac:dyDescent="0.25">
      <c r="C1373" s="11"/>
    </row>
    <row r="1374" spans="3:3" x14ac:dyDescent="0.25">
      <c r="C1374" s="11"/>
    </row>
    <row r="1375" spans="3:3" x14ac:dyDescent="0.25">
      <c r="C1375" s="11"/>
    </row>
    <row r="1376" spans="3:3" x14ac:dyDescent="0.25">
      <c r="C1376" s="11"/>
    </row>
    <row r="1377" spans="3:3" x14ac:dyDescent="0.25">
      <c r="C1377" s="11"/>
    </row>
    <row r="1378" spans="3:3" x14ac:dyDescent="0.25">
      <c r="C1378" s="11"/>
    </row>
    <row r="1379" spans="3:3" x14ac:dyDescent="0.25">
      <c r="C1379" s="11"/>
    </row>
    <row r="1380" spans="3:3" x14ac:dyDescent="0.25">
      <c r="C1380" s="11"/>
    </row>
    <row r="1381" spans="3:3" x14ac:dyDescent="0.25">
      <c r="C1381" s="11"/>
    </row>
    <row r="1382" spans="3:3" x14ac:dyDescent="0.25">
      <c r="C1382" s="11"/>
    </row>
    <row r="1383" spans="3:3" x14ac:dyDescent="0.25">
      <c r="C1383" s="11"/>
    </row>
    <row r="1384" spans="3:3" x14ac:dyDescent="0.25">
      <c r="C1384" s="11"/>
    </row>
    <row r="1385" spans="3:3" x14ac:dyDescent="0.25">
      <c r="C1385" s="11"/>
    </row>
    <row r="1386" spans="3:3" x14ac:dyDescent="0.25">
      <c r="C1386" s="11"/>
    </row>
    <row r="1387" spans="3:3" x14ac:dyDescent="0.25">
      <c r="C1387" s="11"/>
    </row>
    <row r="1388" spans="3:3" x14ac:dyDescent="0.25">
      <c r="C1388" s="11"/>
    </row>
    <row r="1389" spans="3:3" x14ac:dyDescent="0.25">
      <c r="C1389" s="11"/>
    </row>
    <row r="1390" spans="3:3" x14ac:dyDescent="0.25">
      <c r="C1390" s="11"/>
    </row>
    <row r="1391" spans="3:3" x14ac:dyDescent="0.25">
      <c r="C1391" s="11"/>
    </row>
    <row r="1392" spans="3:3" x14ac:dyDescent="0.25">
      <c r="C1392" s="11"/>
    </row>
    <row r="1393" spans="3:3" x14ac:dyDescent="0.25">
      <c r="C1393" s="11"/>
    </row>
    <row r="1394" spans="3:3" x14ac:dyDescent="0.25">
      <c r="C1394" s="11"/>
    </row>
    <row r="1395" spans="3:3" x14ac:dyDescent="0.25">
      <c r="C1395" s="11"/>
    </row>
    <row r="1396" spans="3:3" x14ac:dyDescent="0.25">
      <c r="C1396" s="11"/>
    </row>
    <row r="1397" spans="3:3" x14ac:dyDescent="0.25">
      <c r="C1397" s="11"/>
    </row>
    <row r="1398" spans="3:3" x14ac:dyDescent="0.25">
      <c r="C1398" s="11"/>
    </row>
    <row r="1399" spans="3:3" x14ac:dyDescent="0.25">
      <c r="C1399" s="11"/>
    </row>
    <row r="1400" spans="3:3" x14ac:dyDescent="0.25">
      <c r="C1400" s="11"/>
    </row>
    <row r="1401" spans="3:3" x14ac:dyDescent="0.25">
      <c r="C1401" s="11"/>
    </row>
    <row r="1402" spans="3:3" x14ac:dyDescent="0.25">
      <c r="C1402" s="11"/>
    </row>
    <row r="1403" spans="3:3" x14ac:dyDescent="0.25">
      <c r="C1403" s="11"/>
    </row>
    <row r="1404" spans="3:3" x14ac:dyDescent="0.25">
      <c r="C1404" s="11"/>
    </row>
    <row r="1405" spans="3:3" x14ac:dyDescent="0.25">
      <c r="C1405" s="11"/>
    </row>
    <row r="1406" spans="3:3" x14ac:dyDescent="0.25">
      <c r="C1406" s="11"/>
    </row>
    <row r="1407" spans="3:3" x14ac:dyDescent="0.25">
      <c r="C1407" s="11"/>
    </row>
    <row r="1408" spans="3:3" x14ac:dyDescent="0.25">
      <c r="C1408" s="11"/>
    </row>
    <row r="1409" spans="3:3" x14ac:dyDescent="0.25">
      <c r="C1409" s="11"/>
    </row>
    <row r="1410" spans="3:3" x14ac:dyDescent="0.25">
      <c r="C1410" s="11"/>
    </row>
    <row r="1411" spans="3:3" x14ac:dyDescent="0.25">
      <c r="C1411" s="11"/>
    </row>
    <row r="1412" spans="3:3" x14ac:dyDescent="0.25">
      <c r="C1412" s="11"/>
    </row>
    <row r="1413" spans="3:3" x14ac:dyDescent="0.25">
      <c r="C1413" s="11"/>
    </row>
    <row r="1414" spans="3:3" x14ac:dyDescent="0.25">
      <c r="C1414" s="11"/>
    </row>
    <row r="1415" spans="3:3" x14ac:dyDescent="0.25">
      <c r="C1415" s="11"/>
    </row>
    <row r="1416" spans="3:3" x14ac:dyDescent="0.25">
      <c r="C1416" s="11"/>
    </row>
    <row r="1417" spans="3:3" x14ac:dyDescent="0.25">
      <c r="C1417" s="11"/>
    </row>
    <row r="1418" spans="3:3" x14ac:dyDescent="0.25">
      <c r="C1418" s="11"/>
    </row>
    <row r="1419" spans="3:3" x14ac:dyDescent="0.25">
      <c r="C1419" s="11"/>
    </row>
    <row r="1420" spans="3:3" x14ac:dyDescent="0.25">
      <c r="C1420" s="11"/>
    </row>
    <row r="1421" spans="3:3" x14ac:dyDescent="0.25">
      <c r="C1421" s="11"/>
    </row>
    <row r="1422" spans="3:3" x14ac:dyDescent="0.25">
      <c r="C1422" s="11"/>
    </row>
    <row r="1423" spans="3:3" x14ac:dyDescent="0.25">
      <c r="C1423" s="11"/>
    </row>
    <row r="1424" spans="3:3" x14ac:dyDescent="0.25">
      <c r="C1424" s="11"/>
    </row>
    <row r="1425" spans="3:3" x14ac:dyDescent="0.25">
      <c r="C1425" s="11"/>
    </row>
    <row r="1426" spans="3:3" x14ac:dyDescent="0.25">
      <c r="C1426" s="11"/>
    </row>
    <row r="1427" spans="3:3" x14ac:dyDescent="0.25">
      <c r="C1427" s="11"/>
    </row>
    <row r="1428" spans="3:3" x14ac:dyDescent="0.25">
      <c r="C1428" s="11"/>
    </row>
    <row r="1429" spans="3:3" x14ac:dyDescent="0.25">
      <c r="C1429" s="11"/>
    </row>
    <row r="1430" spans="3:3" x14ac:dyDescent="0.25">
      <c r="C1430" s="11"/>
    </row>
    <row r="1431" spans="3:3" x14ac:dyDescent="0.25">
      <c r="C1431" s="11"/>
    </row>
    <row r="1432" spans="3:3" x14ac:dyDescent="0.25">
      <c r="C1432" s="11"/>
    </row>
    <row r="1433" spans="3:3" x14ac:dyDescent="0.25">
      <c r="C1433" s="11"/>
    </row>
    <row r="1434" spans="3:3" x14ac:dyDescent="0.25">
      <c r="C1434" s="11"/>
    </row>
    <row r="1435" spans="3:3" x14ac:dyDescent="0.25">
      <c r="C1435" s="11"/>
    </row>
    <row r="1436" spans="3:3" x14ac:dyDescent="0.25">
      <c r="C1436" s="11"/>
    </row>
    <row r="1437" spans="3:3" x14ac:dyDescent="0.25">
      <c r="C1437" s="11"/>
    </row>
    <row r="1438" spans="3:3" x14ac:dyDescent="0.25">
      <c r="C1438" s="11"/>
    </row>
    <row r="1439" spans="3:3" x14ac:dyDescent="0.25">
      <c r="C1439" s="11"/>
    </row>
    <row r="1440" spans="3:3" x14ac:dyDescent="0.25">
      <c r="C1440" s="11"/>
    </row>
    <row r="1441" spans="3:3" x14ac:dyDescent="0.25">
      <c r="C1441" s="11"/>
    </row>
    <row r="1442" spans="3:3" x14ac:dyDescent="0.25">
      <c r="C1442" s="11"/>
    </row>
    <row r="1443" spans="3:3" x14ac:dyDescent="0.25">
      <c r="C1443" s="11"/>
    </row>
    <row r="1444" spans="3:3" x14ac:dyDescent="0.25">
      <c r="C1444" s="11"/>
    </row>
    <row r="1445" spans="3:3" x14ac:dyDescent="0.25">
      <c r="C1445" s="11"/>
    </row>
    <row r="1446" spans="3:3" x14ac:dyDescent="0.25">
      <c r="C1446" s="11"/>
    </row>
    <row r="1447" spans="3:3" x14ac:dyDescent="0.25">
      <c r="C1447" s="11"/>
    </row>
    <row r="1448" spans="3:3" x14ac:dyDescent="0.25">
      <c r="C1448" s="11"/>
    </row>
    <row r="1449" spans="3:3" x14ac:dyDescent="0.25">
      <c r="C1449" s="11"/>
    </row>
    <row r="1450" spans="3:3" x14ac:dyDescent="0.25">
      <c r="C1450" s="11"/>
    </row>
    <row r="1451" spans="3:3" x14ac:dyDescent="0.25">
      <c r="C1451" s="11"/>
    </row>
    <row r="1452" spans="3:3" x14ac:dyDescent="0.25">
      <c r="C1452" s="11"/>
    </row>
    <row r="1453" spans="3:3" x14ac:dyDescent="0.25">
      <c r="C1453" s="11"/>
    </row>
    <row r="1454" spans="3:3" x14ac:dyDescent="0.25">
      <c r="C1454" s="11"/>
    </row>
    <row r="1455" spans="3:3" x14ac:dyDescent="0.25">
      <c r="C1455" s="11"/>
    </row>
    <row r="1456" spans="3:3" x14ac:dyDescent="0.25">
      <c r="C1456" s="11"/>
    </row>
    <row r="1457" spans="3:3" x14ac:dyDescent="0.25">
      <c r="C1457" s="11"/>
    </row>
    <row r="1458" spans="3:3" x14ac:dyDescent="0.25">
      <c r="C1458" s="11"/>
    </row>
    <row r="1459" spans="3:3" x14ac:dyDescent="0.25">
      <c r="C1459" s="11"/>
    </row>
    <row r="1460" spans="3:3" x14ac:dyDescent="0.25">
      <c r="C1460" s="11"/>
    </row>
    <row r="1461" spans="3:3" x14ac:dyDescent="0.25">
      <c r="C1461" s="11"/>
    </row>
    <row r="1462" spans="3:3" x14ac:dyDescent="0.25">
      <c r="C1462" s="11"/>
    </row>
    <row r="1463" spans="3:3" x14ac:dyDescent="0.25">
      <c r="C1463" s="11"/>
    </row>
    <row r="1464" spans="3:3" x14ac:dyDescent="0.25">
      <c r="C1464" s="11"/>
    </row>
    <row r="1465" spans="3:3" x14ac:dyDescent="0.25">
      <c r="C1465" s="11"/>
    </row>
    <row r="1466" spans="3:3" x14ac:dyDescent="0.25">
      <c r="C1466" s="11"/>
    </row>
    <row r="1467" spans="3:3" x14ac:dyDescent="0.25">
      <c r="C1467" s="11"/>
    </row>
    <row r="1468" spans="3:3" x14ac:dyDescent="0.25">
      <c r="C1468" s="11"/>
    </row>
    <row r="1469" spans="3:3" x14ac:dyDescent="0.25">
      <c r="C1469" s="11"/>
    </row>
    <row r="1470" spans="3:3" x14ac:dyDescent="0.25">
      <c r="C1470" s="11"/>
    </row>
    <row r="1471" spans="3:3" x14ac:dyDescent="0.25">
      <c r="C1471" s="11"/>
    </row>
    <row r="1472" spans="3:3" x14ac:dyDescent="0.25">
      <c r="C1472" s="11"/>
    </row>
    <row r="1473" spans="3:3" x14ac:dyDescent="0.25">
      <c r="C1473" s="11"/>
    </row>
    <row r="1474" spans="3:3" x14ac:dyDescent="0.25">
      <c r="C1474" s="11"/>
    </row>
    <row r="1475" spans="3:3" x14ac:dyDescent="0.25">
      <c r="C1475" s="11"/>
    </row>
    <row r="1476" spans="3:3" x14ac:dyDescent="0.25">
      <c r="C1476" s="11"/>
    </row>
    <row r="1477" spans="3:3" x14ac:dyDescent="0.25">
      <c r="C1477" s="11"/>
    </row>
    <row r="1478" spans="3:3" x14ac:dyDescent="0.25">
      <c r="C1478" s="11"/>
    </row>
    <row r="1479" spans="3:3" x14ac:dyDescent="0.25">
      <c r="C1479" s="11"/>
    </row>
    <row r="1480" spans="3:3" x14ac:dyDescent="0.25">
      <c r="C1480" s="11"/>
    </row>
    <row r="1481" spans="3:3" x14ac:dyDescent="0.25">
      <c r="C1481" s="11"/>
    </row>
    <row r="1482" spans="3:3" x14ac:dyDescent="0.25">
      <c r="C1482" s="11"/>
    </row>
    <row r="1483" spans="3:3" x14ac:dyDescent="0.25">
      <c r="C1483" s="11"/>
    </row>
    <row r="1484" spans="3:3" x14ac:dyDescent="0.25">
      <c r="C1484" s="11"/>
    </row>
    <row r="1485" spans="3:3" x14ac:dyDescent="0.25">
      <c r="C1485" s="11"/>
    </row>
    <row r="1486" spans="3:3" x14ac:dyDescent="0.25">
      <c r="C1486" s="11"/>
    </row>
    <row r="1487" spans="3:3" x14ac:dyDescent="0.25">
      <c r="C1487" s="11"/>
    </row>
    <row r="1488" spans="3:3" x14ac:dyDescent="0.25">
      <c r="C1488" s="11"/>
    </row>
    <row r="1489" spans="3:3" x14ac:dyDescent="0.25">
      <c r="C1489" s="11"/>
    </row>
    <row r="1490" spans="3:3" x14ac:dyDescent="0.25">
      <c r="C1490" s="11"/>
    </row>
    <row r="1491" spans="3:3" x14ac:dyDescent="0.25">
      <c r="C1491" s="11"/>
    </row>
    <row r="1492" spans="3:3" x14ac:dyDescent="0.25">
      <c r="C1492" s="11"/>
    </row>
    <row r="1493" spans="3:3" x14ac:dyDescent="0.25">
      <c r="C1493" s="11"/>
    </row>
    <row r="1494" spans="3:3" x14ac:dyDescent="0.25">
      <c r="C1494" s="11"/>
    </row>
    <row r="1495" spans="3:3" x14ac:dyDescent="0.25">
      <c r="C1495" s="11"/>
    </row>
    <row r="1496" spans="3:3" x14ac:dyDescent="0.25">
      <c r="C1496" s="11"/>
    </row>
    <row r="1497" spans="3:3" x14ac:dyDescent="0.25">
      <c r="C1497" s="11"/>
    </row>
    <row r="1498" spans="3:3" x14ac:dyDescent="0.25">
      <c r="C1498" s="11"/>
    </row>
    <row r="1499" spans="3:3" x14ac:dyDescent="0.25">
      <c r="C1499" s="11"/>
    </row>
    <row r="1500" spans="3:3" x14ac:dyDescent="0.25">
      <c r="C1500" s="11"/>
    </row>
    <row r="1501" spans="3:3" x14ac:dyDescent="0.25">
      <c r="C1501" s="11"/>
    </row>
    <row r="1502" spans="3:3" x14ac:dyDescent="0.25">
      <c r="C1502" s="11"/>
    </row>
    <row r="1503" spans="3:3" x14ac:dyDescent="0.25">
      <c r="C1503" s="11"/>
    </row>
    <row r="1504" spans="3:3" x14ac:dyDescent="0.25">
      <c r="C1504" s="11"/>
    </row>
    <row r="1505" spans="3:3" x14ac:dyDescent="0.25">
      <c r="C1505" s="11"/>
    </row>
    <row r="1506" spans="3:3" x14ac:dyDescent="0.25">
      <c r="C1506" s="11"/>
    </row>
    <row r="1507" spans="3:3" x14ac:dyDescent="0.25">
      <c r="C1507" s="11"/>
    </row>
    <row r="1508" spans="3:3" x14ac:dyDescent="0.25">
      <c r="C1508" s="11"/>
    </row>
    <row r="1509" spans="3:3" x14ac:dyDescent="0.25">
      <c r="C1509" s="11"/>
    </row>
    <row r="1510" spans="3:3" x14ac:dyDescent="0.25">
      <c r="C1510" s="11"/>
    </row>
    <row r="1511" spans="3:3" x14ac:dyDescent="0.25">
      <c r="C1511" s="11"/>
    </row>
    <row r="1512" spans="3:3" x14ac:dyDescent="0.25">
      <c r="C1512" s="11"/>
    </row>
    <row r="1513" spans="3:3" x14ac:dyDescent="0.25">
      <c r="C1513" s="11"/>
    </row>
    <row r="1514" spans="3:3" x14ac:dyDescent="0.25">
      <c r="C1514" s="11"/>
    </row>
    <row r="1515" spans="3:3" x14ac:dyDescent="0.25">
      <c r="C1515" s="11"/>
    </row>
    <row r="1516" spans="3:3" x14ac:dyDescent="0.25">
      <c r="C1516" s="11"/>
    </row>
    <row r="1517" spans="3:3" x14ac:dyDescent="0.25">
      <c r="C1517" s="11"/>
    </row>
    <row r="1518" spans="3:3" x14ac:dyDescent="0.25">
      <c r="C1518" s="11"/>
    </row>
    <row r="1519" spans="3:3" x14ac:dyDescent="0.25">
      <c r="C1519" s="11"/>
    </row>
    <row r="1520" spans="3:3" x14ac:dyDescent="0.25">
      <c r="C1520" s="11"/>
    </row>
    <row r="1521" spans="3:3" x14ac:dyDescent="0.25">
      <c r="C1521" s="11"/>
    </row>
    <row r="1522" spans="3:3" x14ac:dyDescent="0.25">
      <c r="C1522" s="11"/>
    </row>
    <row r="1523" spans="3:3" x14ac:dyDescent="0.25">
      <c r="C1523" s="11"/>
    </row>
    <row r="1524" spans="3:3" x14ac:dyDescent="0.25">
      <c r="C1524" s="11"/>
    </row>
    <row r="1525" spans="3:3" x14ac:dyDescent="0.25">
      <c r="C1525" s="11"/>
    </row>
    <row r="1526" spans="3:3" x14ac:dyDescent="0.25">
      <c r="C1526" s="11"/>
    </row>
    <row r="1527" spans="3:3" x14ac:dyDescent="0.25">
      <c r="C1527" s="11"/>
    </row>
    <row r="1528" spans="3:3" x14ac:dyDescent="0.25">
      <c r="C1528" s="11"/>
    </row>
    <row r="1529" spans="3:3" x14ac:dyDescent="0.25">
      <c r="C1529" s="11"/>
    </row>
    <row r="1530" spans="3:3" x14ac:dyDescent="0.25">
      <c r="C1530" s="11"/>
    </row>
    <row r="1531" spans="3:3" x14ac:dyDescent="0.25">
      <c r="C1531" s="11"/>
    </row>
    <row r="1532" spans="3:3" x14ac:dyDescent="0.25">
      <c r="C1532" s="11"/>
    </row>
    <row r="1533" spans="3:3" x14ac:dyDescent="0.25">
      <c r="C1533" s="11"/>
    </row>
    <row r="1534" spans="3:3" x14ac:dyDescent="0.25">
      <c r="C1534" s="11"/>
    </row>
    <row r="1535" spans="3:3" x14ac:dyDescent="0.25">
      <c r="C1535" s="11"/>
    </row>
    <row r="1536" spans="3:3" x14ac:dyDescent="0.25">
      <c r="C1536" s="11"/>
    </row>
    <row r="1537" spans="3:3" x14ac:dyDescent="0.25">
      <c r="C1537" s="11"/>
    </row>
    <row r="1538" spans="3:3" x14ac:dyDescent="0.25">
      <c r="C1538" s="11"/>
    </row>
    <row r="1539" spans="3:3" x14ac:dyDescent="0.25">
      <c r="C1539" s="11"/>
    </row>
    <row r="1540" spans="3:3" x14ac:dyDescent="0.25">
      <c r="C1540" s="11"/>
    </row>
    <row r="1541" spans="3:3" x14ac:dyDescent="0.25">
      <c r="C1541" s="11"/>
    </row>
    <row r="1542" spans="3:3" x14ac:dyDescent="0.25">
      <c r="C1542" s="11"/>
    </row>
    <row r="1543" spans="3:3" x14ac:dyDescent="0.25">
      <c r="C1543" s="11"/>
    </row>
    <row r="1544" spans="3:3" x14ac:dyDescent="0.25">
      <c r="C1544" s="11"/>
    </row>
    <row r="1545" spans="3:3" x14ac:dyDescent="0.25">
      <c r="C1545" s="11"/>
    </row>
    <row r="1546" spans="3:3" x14ac:dyDescent="0.25">
      <c r="C1546" s="11"/>
    </row>
    <row r="1547" spans="3:3" x14ac:dyDescent="0.25">
      <c r="C1547" s="11"/>
    </row>
    <row r="1548" spans="3:3" x14ac:dyDescent="0.25">
      <c r="C1548" s="11"/>
    </row>
    <row r="1549" spans="3:3" x14ac:dyDescent="0.25">
      <c r="C1549" s="11"/>
    </row>
    <row r="1550" spans="3:3" x14ac:dyDescent="0.25">
      <c r="C1550" s="11"/>
    </row>
    <row r="1551" spans="3:3" x14ac:dyDescent="0.25">
      <c r="C1551" s="11"/>
    </row>
    <row r="1552" spans="3:3" x14ac:dyDescent="0.25">
      <c r="C1552" s="11"/>
    </row>
    <row r="1553" spans="3:3" x14ac:dyDescent="0.25">
      <c r="C1553" s="11"/>
    </row>
    <row r="1554" spans="3:3" x14ac:dyDescent="0.25">
      <c r="C1554" s="11"/>
    </row>
    <row r="1555" spans="3:3" x14ac:dyDescent="0.25">
      <c r="C1555" s="11"/>
    </row>
    <row r="1556" spans="3:3" x14ac:dyDescent="0.25">
      <c r="C1556" s="11"/>
    </row>
    <row r="1557" spans="3:3" x14ac:dyDescent="0.25">
      <c r="C1557" s="11"/>
    </row>
    <row r="1558" spans="3:3" x14ac:dyDescent="0.25">
      <c r="C1558" s="11"/>
    </row>
    <row r="1559" spans="3:3" x14ac:dyDescent="0.25">
      <c r="C1559" s="11"/>
    </row>
    <row r="1560" spans="3:3" x14ac:dyDescent="0.25">
      <c r="C1560" s="11"/>
    </row>
    <row r="1561" spans="3:3" x14ac:dyDescent="0.25">
      <c r="C1561" s="11"/>
    </row>
    <row r="1562" spans="3:3" x14ac:dyDescent="0.25">
      <c r="C1562" s="11"/>
    </row>
    <row r="1563" spans="3:3" x14ac:dyDescent="0.25">
      <c r="C1563" s="11"/>
    </row>
    <row r="1564" spans="3:3" x14ac:dyDescent="0.25">
      <c r="C1564" s="11"/>
    </row>
    <row r="1565" spans="3:3" x14ac:dyDescent="0.25">
      <c r="C1565" s="11"/>
    </row>
    <row r="1566" spans="3:3" x14ac:dyDescent="0.25">
      <c r="C1566" s="11"/>
    </row>
    <row r="1567" spans="3:3" x14ac:dyDescent="0.25">
      <c r="C1567" s="11"/>
    </row>
    <row r="1568" spans="3:3" x14ac:dyDescent="0.25">
      <c r="C1568" s="11"/>
    </row>
    <row r="1569" spans="3:3" x14ac:dyDescent="0.25">
      <c r="C1569" s="11"/>
    </row>
    <row r="1570" spans="3:3" x14ac:dyDescent="0.25">
      <c r="C1570" s="11"/>
    </row>
    <row r="1571" spans="3:3" x14ac:dyDescent="0.25">
      <c r="C1571" s="11"/>
    </row>
    <row r="1572" spans="3:3" x14ac:dyDescent="0.25">
      <c r="C1572" s="11"/>
    </row>
    <row r="1573" spans="3:3" x14ac:dyDescent="0.25">
      <c r="C1573" s="11"/>
    </row>
    <row r="1574" spans="3:3" x14ac:dyDescent="0.25">
      <c r="C1574" s="11"/>
    </row>
    <row r="1575" spans="3:3" x14ac:dyDescent="0.25">
      <c r="C1575" s="11"/>
    </row>
    <row r="1576" spans="3:3" x14ac:dyDescent="0.25">
      <c r="C1576" s="11"/>
    </row>
    <row r="1577" spans="3:3" x14ac:dyDescent="0.25">
      <c r="C1577" s="11"/>
    </row>
    <row r="1578" spans="3:3" x14ac:dyDescent="0.25">
      <c r="C1578" s="11"/>
    </row>
    <row r="1579" spans="3:3" x14ac:dyDescent="0.25">
      <c r="C1579" s="11"/>
    </row>
    <row r="1580" spans="3:3" x14ac:dyDescent="0.25">
      <c r="C1580" s="11"/>
    </row>
    <row r="1581" spans="3:3" x14ac:dyDescent="0.25">
      <c r="C1581" s="11"/>
    </row>
    <row r="1582" spans="3:3" x14ac:dyDescent="0.25">
      <c r="C1582" s="11"/>
    </row>
    <row r="1583" spans="3:3" x14ac:dyDescent="0.25">
      <c r="C1583" s="11"/>
    </row>
    <row r="1584" spans="3:3" x14ac:dyDescent="0.25">
      <c r="C1584" s="11"/>
    </row>
    <row r="1585" spans="3:3" x14ac:dyDescent="0.25">
      <c r="C1585" s="11"/>
    </row>
    <row r="1586" spans="3:3" x14ac:dyDescent="0.25">
      <c r="C1586" s="11"/>
    </row>
    <row r="1587" spans="3:3" x14ac:dyDescent="0.25">
      <c r="C1587" s="11"/>
    </row>
    <row r="1588" spans="3:3" x14ac:dyDescent="0.25">
      <c r="C1588" s="11"/>
    </row>
    <row r="1589" spans="3:3" x14ac:dyDescent="0.25">
      <c r="C1589" s="11"/>
    </row>
    <row r="1590" spans="3:3" x14ac:dyDescent="0.25">
      <c r="C1590" s="11"/>
    </row>
    <row r="1591" spans="3:3" x14ac:dyDescent="0.25">
      <c r="C1591" s="11"/>
    </row>
    <row r="1592" spans="3:3" x14ac:dyDescent="0.25">
      <c r="C1592" s="11"/>
    </row>
    <row r="1593" spans="3:3" x14ac:dyDescent="0.25">
      <c r="C1593" s="11"/>
    </row>
    <row r="1594" spans="3:3" x14ac:dyDescent="0.25">
      <c r="C1594" s="11"/>
    </row>
    <row r="1595" spans="3:3" x14ac:dyDescent="0.25">
      <c r="C1595" s="11"/>
    </row>
    <row r="1596" spans="3:3" x14ac:dyDescent="0.25">
      <c r="C1596" s="11"/>
    </row>
    <row r="1597" spans="3:3" x14ac:dyDescent="0.25">
      <c r="C1597" s="11"/>
    </row>
    <row r="1598" spans="3:3" x14ac:dyDescent="0.25">
      <c r="C1598" s="11"/>
    </row>
    <row r="1599" spans="3:3" x14ac:dyDescent="0.25">
      <c r="C1599" s="11"/>
    </row>
    <row r="1600" spans="3:3" x14ac:dyDescent="0.25">
      <c r="C1600" s="11"/>
    </row>
    <row r="1601" spans="3:3" x14ac:dyDescent="0.25">
      <c r="C1601" s="11"/>
    </row>
    <row r="1602" spans="3:3" x14ac:dyDescent="0.25">
      <c r="C1602" s="11"/>
    </row>
    <row r="1603" spans="3:3" x14ac:dyDescent="0.25">
      <c r="C1603" s="11"/>
    </row>
    <row r="1604" spans="3:3" x14ac:dyDescent="0.25">
      <c r="C1604" s="11"/>
    </row>
    <row r="1605" spans="3:3" x14ac:dyDescent="0.25">
      <c r="C1605" s="11"/>
    </row>
    <row r="1606" spans="3:3" x14ac:dyDescent="0.25">
      <c r="C1606" s="11"/>
    </row>
    <row r="1607" spans="3:3" x14ac:dyDescent="0.25">
      <c r="C1607" s="11"/>
    </row>
    <row r="1608" spans="3:3" x14ac:dyDescent="0.25">
      <c r="C1608" s="11"/>
    </row>
    <row r="1609" spans="3:3" x14ac:dyDescent="0.25">
      <c r="C1609" s="11"/>
    </row>
    <row r="1610" spans="3:3" x14ac:dyDescent="0.25">
      <c r="C1610" s="11"/>
    </row>
    <row r="1611" spans="3:3" x14ac:dyDescent="0.25">
      <c r="C1611" s="11"/>
    </row>
    <row r="1612" spans="3:3" x14ac:dyDescent="0.25">
      <c r="C1612" s="11"/>
    </row>
    <row r="1613" spans="3:3" x14ac:dyDescent="0.25">
      <c r="C1613" s="11"/>
    </row>
    <row r="1614" spans="3:3" x14ac:dyDescent="0.25">
      <c r="C1614" s="11"/>
    </row>
    <row r="1615" spans="3:3" x14ac:dyDescent="0.25">
      <c r="C1615" s="11"/>
    </row>
    <row r="1616" spans="3:3" x14ac:dyDescent="0.25">
      <c r="C1616" s="11"/>
    </row>
    <row r="1617" spans="3:3" x14ac:dyDescent="0.25">
      <c r="C1617" s="11"/>
    </row>
    <row r="1618" spans="3:3" x14ac:dyDescent="0.25">
      <c r="C1618" s="11"/>
    </row>
    <row r="1619" spans="3:3" x14ac:dyDescent="0.25">
      <c r="C1619" s="11"/>
    </row>
    <row r="1620" spans="3:3" x14ac:dyDescent="0.25">
      <c r="C1620" s="11"/>
    </row>
    <row r="1621" spans="3:3" x14ac:dyDescent="0.25">
      <c r="C1621" s="11"/>
    </row>
    <row r="1622" spans="3:3" x14ac:dyDescent="0.25">
      <c r="C1622" s="11"/>
    </row>
    <row r="1623" spans="3:3" x14ac:dyDescent="0.25">
      <c r="C1623" s="11"/>
    </row>
    <row r="1624" spans="3:3" x14ac:dyDescent="0.25">
      <c r="C1624" s="11"/>
    </row>
    <row r="1625" spans="3:3" x14ac:dyDescent="0.25">
      <c r="C1625" s="11"/>
    </row>
    <row r="1626" spans="3:3" x14ac:dyDescent="0.25">
      <c r="C1626" s="11"/>
    </row>
    <row r="1627" spans="3:3" x14ac:dyDescent="0.25">
      <c r="C1627" s="11"/>
    </row>
    <row r="1628" spans="3:3" x14ac:dyDescent="0.25">
      <c r="C1628" s="11"/>
    </row>
    <row r="1629" spans="3:3" x14ac:dyDescent="0.25">
      <c r="C1629" s="11"/>
    </row>
    <row r="1630" spans="3:3" x14ac:dyDescent="0.25">
      <c r="C1630" s="11"/>
    </row>
    <row r="1631" spans="3:3" x14ac:dyDescent="0.25">
      <c r="C1631" s="11"/>
    </row>
    <row r="1632" spans="3:3" x14ac:dyDescent="0.25">
      <c r="C1632" s="11"/>
    </row>
    <row r="1633" spans="3:3" x14ac:dyDescent="0.25">
      <c r="C1633" s="11"/>
    </row>
    <row r="1634" spans="3:3" x14ac:dyDescent="0.25">
      <c r="C1634" s="11"/>
    </row>
    <row r="1635" spans="3:3" x14ac:dyDescent="0.25">
      <c r="C1635" s="11"/>
    </row>
    <row r="1636" spans="3:3" x14ac:dyDescent="0.25">
      <c r="C1636" s="11"/>
    </row>
    <row r="1637" spans="3:3" x14ac:dyDescent="0.25">
      <c r="C1637" s="11"/>
    </row>
    <row r="1638" spans="3:3" x14ac:dyDescent="0.25">
      <c r="C1638" s="11"/>
    </row>
    <row r="1639" spans="3:3" x14ac:dyDescent="0.25">
      <c r="C1639" s="11"/>
    </row>
    <row r="1640" spans="3:3" x14ac:dyDescent="0.25">
      <c r="C1640" s="11"/>
    </row>
    <row r="1641" spans="3:3" x14ac:dyDescent="0.25">
      <c r="C1641" s="11"/>
    </row>
    <row r="1642" spans="3:3" x14ac:dyDescent="0.25">
      <c r="C1642" s="11"/>
    </row>
    <row r="1643" spans="3:3" x14ac:dyDescent="0.25">
      <c r="C1643" s="11"/>
    </row>
    <row r="1644" spans="3:3" x14ac:dyDescent="0.25">
      <c r="C1644" s="11"/>
    </row>
    <row r="1645" spans="3:3" x14ac:dyDescent="0.25">
      <c r="C1645" s="11"/>
    </row>
    <row r="1646" spans="3:3" x14ac:dyDescent="0.25">
      <c r="C1646" s="11"/>
    </row>
    <row r="1647" spans="3:3" x14ac:dyDescent="0.25">
      <c r="C1647" s="11"/>
    </row>
    <row r="1648" spans="3:3" x14ac:dyDescent="0.25">
      <c r="C1648" s="11"/>
    </row>
    <row r="1649" spans="3:3" x14ac:dyDescent="0.25">
      <c r="C1649" s="11"/>
    </row>
    <row r="1650" spans="3:3" x14ac:dyDescent="0.25">
      <c r="C1650" s="11"/>
    </row>
    <row r="1651" spans="3:3" x14ac:dyDescent="0.25">
      <c r="C1651" s="11"/>
    </row>
    <row r="1652" spans="3:3" x14ac:dyDescent="0.25">
      <c r="C1652" s="11"/>
    </row>
    <row r="1653" spans="3:3" x14ac:dyDescent="0.25">
      <c r="C1653" s="11"/>
    </row>
    <row r="1654" spans="3:3" x14ac:dyDescent="0.25">
      <c r="C1654" s="11"/>
    </row>
    <row r="1655" spans="3:3" x14ac:dyDescent="0.25">
      <c r="C1655" s="11"/>
    </row>
    <row r="1656" spans="3:3" x14ac:dyDescent="0.25">
      <c r="C1656" s="11"/>
    </row>
    <row r="1657" spans="3:3" x14ac:dyDescent="0.25">
      <c r="C1657" s="11"/>
    </row>
    <row r="1658" spans="3:3" x14ac:dyDescent="0.25">
      <c r="C1658" s="11"/>
    </row>
    <row r="1659" spans="3:3" x14ac:dyDescent="0.25">
      <c r="C1659" s="11"/>
    </row>
    <row r="1660" spans="3:3" x14ac:dyDescent="0.25">
      <c r="C1660" s="11"/>
    </row>
    <row r="1661" spans="3:3" x14ac:dyDescent="0.25">
      <c r="C1661" s="11"/>
    </row>
    <row r="1662" spans="3:3" x14ac:dyDescent="0.25">
      <c r="C1662" s="11"/>
    </row>
    <row r="1663" spans="3:3" x14ac:dyDescent="0.25">
      <c r="C1663" s="11"/>
    </row>
    <row r="1664" spans="3:3" x14ac:dyDescent="0.25">
      <c r="C1664" s="11"/>
    </row>
    <row r="1665" spans="3:3" x14ac:dyDescent="0.25">
      <c r="C1665" s="11"/>
    </row>
    <row r="1666" spans="3:3" x14ac:dyDescent="0.25">
      <c r="C1666" s="11"/>
    </row>
    <row r="1667" spans="3:3" x14ac:dyDescent="0.25">
      <c r="C1667" s="11"/>
    </row>
    <row r="1668" spans="3:3" x14ac:dyDescent="0.25">
      <c r="C1668" s="11"/>
    </row>
    <row r="1669" spans="3:3" x14ac:dyDescent="0.25">
      <c r="C1669" s="11"/>
    </row>
    <row r="1670" spans="3:3" x14ac:dyDescent="0.25">
      <c r="C1670" s="11"/>
    </row>
    <row r="1671" spans="3:3" x14ac:dyDescent="0.25">
      <c r="C1671" s="11"/>
    </row>
    <row r="1672" spans="3:3" x14ac:dyDescent="0.25">
      <c r="C1672" s="11"/>
    </row>
    <row r="1673" spans="3:3" x14ac:dyDescent="0.25">
      <c r="C1673" s="11"/>
    </row>
    <row r="1674" spans="3:3" x14ac:dyDescent="0.25">
      <c r="C1674" s="11"/>
    </row>
    <row r="1675" spans="3:3" x14ac:dyDescent="0.25">
      <c r="C1675" s="11"/>
    </row>
    <row r="1676" spans="3:3" x14ac:dyDescent="0.25">
      <c r="C1676" s="11"/>
    </row>
    <row r="1677" spans="3:3" x14ac:dyDescent="0.25">
      <c r="C1677" s="11"/>
    </row>
    <row r="1678" spans="3:3" x14ac:dyDescent="0.25">
      <c r="C1678" s="11"/>
    </row>
    <row r="1679" spans="3:3" x14ac:dyDescent="0.25">
      <c r="C1679" s="11"/>
    </row>
    <row r="1680" spans="3:3" x14ac:dyDescent="0.25">
      <c r="C1680" s="11"/>
    </row>
    <row r="1681" spans="3:3" x14ac:dyDescent="0.25">
      <c r="C1681" s="11"/>
    </row>
    <row r="1682" spans="3:3" x14ac:dyDescent="0.25">
      <c r="C1682" s="11"/>
    </row>
    <row r="1683" spans="3:3" x14ac:dyDescent="0.25">
      <c r="C1683" s="11"/>
    </row>
    <row r="1684" spans="3:3" x14ac:dyDescent="0.25">
      <c r="C1684" s="11"/>
    </row>
    <row r="1685" spans="3:3" x14ac:dyDescent="0.25">
      <c r="C1685" s="11"/>
    </row>
    <row r="1686" spans="3:3" x14ac:dyDescent="0.25">
      <c r="C1686" s="11"/>
    </row>
    <row r="1687" spans="3:3" x14ac:dyDescent="0.25">
      <c r="C1687" s="11"/>
    </row>
    <row r="1688" spans="3:3" x14ac:dyDescent="0.25">
      <c r="C1688" s="11"/>
    </row>
    <row r="1689" spans="3:3" x14ac:dyDescent="0.25">
      <c r="C1689" s="11"/>
    </row>
    <row r="1690" spans="3:3" x14ac:dyDescent="0.25">
      <c r="C1690" s="11"/>
    </row>
    <row r="1691" spans="3:3" x14ac:dyDescent="0.25">
      <c r="C1691" s="11"/>
    </row>
    <row r="1692" spans="3:3" x14ac:dyDescent="0.25">
      <c r="C1692" s="11"/>
    </row>
    <row r="1693" spans="3:3" x14ac:dyDescent="0.25">
      <c r="C1693" s="11"/>
    </row>
    <row r="1694" spans="3:3" x14ac:dyDescent="0.25">
      <c r="C1694" s="11"/>
    </row>
    <row r="1695" spans="3:3" x14ac:dyDescent="0.25">
      <c r="C1695" s="11"/>
    </row>
    <row r="1696" spans="3:3" x14ac:dyDescent="0.25">
      <c r="C1696" s="11"/>
    </row>
    <row r="1697" spans="3:3" x14ac:dyDescent="0.25">
      <c r="C1697" s="11"/>
    </row>
    <row r="1698" spans="3:3" x14ac:dyDescent="0.25">
      <c r="C1698" s="11"/>
    </row>
    <row r="1699" spans="3:3" x14ac:dyDescent="0.25">
      <c r="C1699" s="11"/>
    </row>
    <row r="1700" spans="3:3" x14ac:dyDescent="0.25">
      <c r="C1700" s="11"/>
    </row>
    <row r="1701" spans="3:3" x14ac:dyDescent="0.25">
      <c r="C1701" s="11"/>
    </row>
    <row r="1702" spans="3:3" x14ac:dyDescent="0.25">
      <c r="C1702" s="11"/>
    </row>
    <row r="1703" spans="3:3" x14ac:dyDescent="0.25">
      <c r="C1703" s="11"/>
    </row>
    <row r="1704" spans="3:3" x14ac:dyDescent="0.25">
      <c r="C1704" s="11"/>
    </row>
    <row r="1705" spans="3:3" x14ac:dyDescent="0.25">
      <c r="C1705" s="11"/>
    </row>
    <row r="1706" spans="3:3" x14ac:dyDescent="0.25">
      <c r="C1706" s="11"/>
    </row>
    <row r="1707" spans="3:3" x14ac:dyDescent="0.25">
      <c r="C1707" s="11"/>
    </row>
    <row r="1708" spans="3:3" x14ac:dyDescent="0.25">
      <c r="C1708" s="11"/>
    </row>
    <row r="1709" spans="3:3" x14ac:dyDescent="0.25">
      <c r="C1709" s="11"/>
    </row>
    <row r="1710" spans="3:3" x14ac:dyDescent="0.25">
      <c r="C1710" s="11"/>
    </row>
    <row r="1711" spans="3:3" x14ac:dyDescent="0.25">
      <c r="C1711" s="11"/>
    </row>
    <row r="1712" spans="3:3" x14ac:dyDescent="0.25">
      <c r="C1712" s="11"/>
    </row>
    <row r="1713" spans="3:3" x14ac:dyDescent="0.25">
      <c r="C1713" s="11"/>
    </row>
    <row r="1714" spans="3:3" x14ac:dyDescent="0.25">
      <c r="C1714" s="11"/>
    </row>
    <row r="1715" spans="3:3" x14ac:dyDescent="0.25">
      <c r="C1715" s="11"/>
    </row>
    <row r="1716" spans="3:3" x14ac:dyDescent="0.25">
      <c r="C1716" s="11"/>
    </row>
    <row r="1717" spans="3:3" x14ac:dyDescent="0.25">
      <c r="C1717" s="11"/>
    </row>
    <row r="1718" spans="3:3" x14ac:dyDescent="0.25">
      <c r="C1718" s="11"/>
    </row>
    <row r="1719" spans="3:3" x14ac:dyDescent="0.25">
      <c r="C1719" s="11"/>
    </row>
    <row r="1720" spans="3:3" x14ac:dyDescent="0.25">
      <c r="C1720" s="11"/>
    </row>
    <row r="1721" spans="3:3" x14ac:dyDescent="0.25">
      <c r="C1721" s="11"/>
    </row>
    <row r="1722" spans="3:3" x14ac:dyDescent="0.25">
      <c r="C1722" s="11"/>
    </row>
    <row r="1723" spans="3:3" x14ac:dyDescent="0.25">
      <c r="C1723" s="11"/>
    </row>
    <row r="1724" spans="3:3" x14ac:dyDescent="0.25">
      <c r="C1724" s="11"/>
    </row>
    <row r="1725" spans="3:3" x14ac:dyDescent="0.25">
      <c r="C1725" s="11"/>
    </row>
    <row r="1726" spans="3:3" x14ac:dyDescent="0.25">
      <c r="C1726" s="11"/>
    </row>
    <row r="1727" spans="3:3" x14ac:dyDescent="0.25">
      <c r="C1727" s="11"/>
    </row>
    <row r="1728" spans="3:3" x14ac:dyDescent="0.25">
      <c r="C1728" s="11"/>
    </row>
    <row r="1729" spans="3:3" x14ac:dyDescent="0.25">
      <c r="C1729" s="11"/>
    </row>
    <row r="1730" spans="3:3" x14ac:dyDescent="0.25">
      <c r="C1730" s="11"/>
    </row>
    <row r="1731" spans="3:3" x14ac:dyDescent="0.25">
      <c r="C1731" s="11"/>
    </row>
    <row r="1732" spans="3:3" x14ac:dyDescent="0.25">
      <c r="C1732" s="11"/>
    </row>
    <row r="1733" spans="3:3" x14ac:dyDescent="0.25">
      <c r="C1733" s="11"/>
    </row>
    <row r="1734" spans="3:3" x14ac:dyDescent="0.25">
      <c r="C1734" s="11"/>
    </row>
    <row r="1735" spans="3:3" x14ac:dyDescent="0.25">
      <c r="C1735" s="11"/>
    </row>
    <row r="1736" spans="3:3" x14ac:dyDescent="0.25">
      <c r="C1736" s="11"/>
    </row>
    <row r="1737" spans="3:3" x14ac:dyDescent="0.25">
      <c r="C1737" s="11"/>
    </row>
    <row r="1738" spans="3:3" x14ac:dyDescent="0.25">
      <c r="C1738" s="11"/>
    </row>
    <row r="1739" spans="3:3" x14ac:dyDescent="0.25">
      <c r="C1739" s="11"/>
    </row>
    <row r="1740" spans="3:3" x14ac:dyDescent="0.25">
      <c r="C1740" s="11"/>
    </row>
    <row r="1741" spans="3:3" x14ac:dyDescent="0.25">
      <c r="C1741" s="11"/>
    </row>
    <row r="1742" spans="3:3" x14ac:dyDescent="0.25">
      <c r="C1742" s="11"/>
    </row>
    <row r="1743" spans="3:3" x14ac:dyDescent="0.25">
      <c r="C1743" s="11"/>
    </row>
    <row r="1744" spans="3:3" x14ac:dyDescent="0.25">
      <c r="C1744" s="11"/>
    </row>
    <row r="1745" spans="3:3" x14ac:dyDescent="0.25">
      <c r="C1745" s="11"/>
    </row>
    <row r="1746" spans="3:3" x14ac:dyDescent="0.25">
      <c r="C1746" s="11"/>
    </row>
    <row r="1747" spans="3:3" x14ac:dyDescent="0.25">
      <c r="C1747" s="11"/>
    </row>
    <row r="1748" spans="3:3" x14ac:dyDescent="0.25">
      <c r="C1748" s="11"/>
    </row>
    <row r="1749" spans="3:3" x14ac:dyDescent="0.25">
      <c r="C1749" s="11"/>
    </row>
    <row r="1750" spans="3:3" x14ac:dyDescent="0.25">
      <c r="C1750" s="11"/>
    </row>
    <row r="1751" spans="3:3" x14ac:dyDescent="0.25">
      <c r="C1751" s="11"/>
    </row>
    <row r="1752" spans="3:3" x14ac:dyDescent="0.25">
      <c r="C1752" s="11"/>
    </row>
    <row r="1753" spans="3:3" x14ac:dyDescent="0.25">
      <c r="C1753" s="11"/>
    </row>
    <row r="1754" spans="3:3" x14ac:dyDescent="0.25">
      <c r="C1754" s="11"/>
    </row>
    <row r="1755" spans="3:3" x14ac:dyDescent="0.25">
      <c r="C1755" s="11"/>
    </row>
    <row r="1756" spans="3:3" x14ac:dyDescent="0.25">
      <c r="C1756" s="11"/>
    </row>
    <row r="1757" spans="3:3" x14ac:dyDescent="0.25">
      <c r="C1757" s="11"/>
    </row>
    <row r="1758" spans="3:3" x14ac:dyDescent="0.25">
      <c r="C1758" s="11"/>
    </row>
    <row r="1759" spans="3:3" x14ac:dyDescent="0.25">
      <c r="C1759" s="11"/>
    </row>
    <row r="1760" spans="3:3" x14ac:dyDescent="0.25">
      <c r="C1760" s="11"/>
    </row>
    <row r="1761" spans="3:3" x14ac:dyDescent="0.25">
      <c r="C1761" s="11"/>
    </row>
    <row r="1762" spans="3:3" x14ac:dyDescent="0.25">
      <c r="C1762" s="11"/>
    </row>
    <row r="1763" spans="3:3" x14ac:dyDescent="0.25">
      <c r="C1763" s="11"/>
    </row>
    <row r="1764" spans="3:3" x14ac:dyDescent="0.25">
      <c r="C1764" s="11"/>
    </row>
    <row r="1765" spans="3:3" x14ac:dyDescent="0.25">
      <c r="C1765" s="11"/>
    </row>
    <row r="1766" spans="3:3" x14ac:dyDescent="0.25">
      <c r="C1766" s="11"/>
    </row>
    <row r="1767" spans="3:3" x14ac:dyDescent="0.25">
      <c r="C1767" s="11"/>
    </row>
    <row r="1768" spans="3:3" x14ac:dyDescent="0.25">
      <c r="C1768" s="11"/>
    </row>
    <row r="1769" spans="3:3" x14ac:dyDescent="0.25">
      <c r="C1769" s="11"/>
    </row>
    <row r="1770" spans="3:3" x14ac:dyDescent="0.25">
      <c r="C1770" s="11"/>
    </row>
    <row r="1771" spans="3:3" x14ac:dyDescent="0.25">
      <c r="C1771" s="11"/>
    </row>
    <row r="1772" spans="3:3" x14ac:dyDescent="0.25">
      <c r="C1772" s="11"/>
    </row>
    <row r="1773" spans="3:3" x14ac:dyDescent="0.25">
      <c r="C1773" s="11"/>
    </row>
    <row r="1774" spans="3:3" x14ac:dyDescent="0.25">
      <c r="C1774" s="11"/>
    </row>
    <row r="1775" spans="3:3" x14ac:dyDescent="0.25">
      <c r="C1775" s="11"/>
    </row>
    <row r="1776" spans="3:3" x14ac:dyDescent="0.25">
      <c r="C1776" s="11"/>
    </row>
    <row r="1777" spans="3:3" x14ac:dyDescent="0.25">
      <c r="C1777" s="11"/>
    </row>
    <row r="1778" spans="3:3" x14ac:dyDescent="0.25">
      <c r="C1778" s="11"/>
    </row>
    <row r="1779" spans="3:3" x14ac:dyDescent="0.25">
      <c r="C1779" s="11"/>
    </row>
    <row r="1780" spans="3:3" x14ac:dyDescent="0.25">
      <c r="C1780" s="11"/>
    </row>
    <row r="1781" spans="3:3" x14ac:dyDescent="0.25">
      <c r="C1781" s="11"/>
    </row>
    <row r="1782" spans="3:3" x14ac:dyDescent="0.25">
      <c r="C1782" s="11"/>
    </row>
    <row r="1783" spans="3:3" x14ac:dyDescent="0.25">
      <c r="C1783" s="11"/>
    </row>
    <row r="1784" spans="3:3" x14ac:dyDescent="0.25">
      <c r="C1784" s="11"/>
    </row>
    <row r="1785" spans="3:3" x14ac:dyDescent="0.25">
      <c r="C1785" s="11"/>
    </row>
    <row r="1786" spans="3:3" x14ac:dyDescent="0.25">
      <c r="C1786" s="11"/>
    </row>
    <row r="1787" spans="3:3" x14ac:dyDescent="0.25">
      <c r="C1787" s="11"/>
    </row>
    <row r="1788" spans="3:3" x14ac:dyDescent="0.25">
      <c r="C1788" s="11"/>
    </row>
    <row r="1789" spans="3:3" x14ac:dyDescent="0.25">
      <c r="C1789" s="11"/>
    </row>
    <row r="1790" spans="3:3" x14ac:dyDescent="0.25">
      <c r="C1790" s="11"/>
    </row>
    <row r="1791" spans="3:3" x14ac:dyDescent="0.25">
      <c r="C1791" s="11"/>
    </row>
    <row r="1792" spans="3:3" x14ac:dyDescent="0.25">
      <c r="C1792" s="11"/>
    </row>
    <row r="1793" spans="3:3" x14ac:dyDescent="0.25">
      <c r="C1793" s="11"/>
    </row>
    <row r="1794" spans="3:3" x14ac:dyDescent="0.25">
      <c r="C1794" s="11"/>
    </row>
    <row r="1795" spans="3:3" x14ac:dyDescent="0.25">
      <c r="C1795" s="11"/>
    </row>
    <row r="1796" spans="3:3" x14ac:dyDescent="0.25">
      <c r="C1796" s="11"/>
    </row>
    <row r="1797" spans="3:3" x14ac:dyDescent="0.25">
      <c r="C1797" s="11"/>
    </row>
    <row r="1798" spans="3:3" x14ac:dyDescent="0.25">
      <c r="C1798" s="11"/>
    </row>
    <row r="1799" spans="3:3" x14ac:dyDescent="0.25">
      <c r="C1799" s="11"/>
    </row>
    <row r="1800" spans="3:3" x14ac:dyDescent="0.25">
      <c r="C1800" s="11"/>
    </row>
    <row r="1801" spans="3:3" x14ac:dyDescent="0.25">
      <c r="C1801" s="11"/>
    </row>
    <row r="1802" spans="3:3" x14ac:dyDescent="0.25">
      <c r="C1802" s="11"/>
    </row>
    <row r="1803" spans="3:3" x14ac:dyDescent="0.25">
      <c r="C1803" s="11"/>
    </row>
    <row r="1804" spans="3:3" x14ac:dyDescent="0.25">
      <c r="C1804" s="11"/>
    </row>
    <row r="1805" spans="3:3" x14ac:dyDescent="0.25">
      <c r="C1805" s="11"/>
    </row>
    <row r="1806" spans="3:3" x14ac:dyDescent="0.25">
      <c r="C1806" s="11"/>
    </row>
    <row r="1807" spans="3:3" x14ac:dyDescent="0.25">
      <c r="C1807" s="11"/>
    </row>
    <row r="1808" spans="3:3" x14ac:dyDescent="0.25">
      <c r="C1808" s="11"/>
    </row>
    <row r="1809" spans="3:3" x14ac:dyDescent="0.25">
      <c r="C1809" s="11"/>
    </row>
    <row r="1810" spans="3:3" x14ac:dyDescent="0.25">
      <c r="C1810" s="11"/>
    </row>
    <row r="1811" spans="3:3" x14ac:dyDescent="0.25">
      <c r="C1811" s="11"/>
    </row>
    <row r="1812" spans="3:3" x14ac:dyDescent="0.25">
      <c r="C1812" s="11"/>
    </row>
    <row r="1813" spans="3:3" x14ac:dyDescent="0.25">
      <c r="C1813" s="11"/>
    </row>
    <row r="1814" spans="3:3" x14ac:dyDescent="0.25">
      <c r="C1814" s="11"/>
    </row>
    <row r="1815" spans="3:3" x14ac:dyDescent="0.25">
      <c r="C1815" s="11"/>
    </row>
    <row r="1816" spans="3:3" x14ac:dyDescent="0.25">
      <c r="C1816" s="11"/>
    </row>
    <row r="1817" spans="3:3" x14ac:dyDescent="0.25">
      <c r="C1817" s="11"/>
    </row>
    <row r="1818" spans="3:3" x14ac:dyDescent="0.25">
      <c r="C1818" s="11"/>
    </row>
    <row r="1819" spans="3:3" x14ac:dyDescent="0.25">
      <c r="C1819" s="11"/>
    </row>
    <row r="1820" spans="3:3" x14ac:dyDescent="0.25">
      <c r="C1820" s="11"/>
    </row>
    <row r="1821" spans="3:3" x14ac:dyDescent="0.25">
      <c r="C1821" s="11"/>
    </row>
    <row r="1822" spans="3:3" x14ac:dyDescent="0.25">
      <c r="C1822" s="11"/>
    </row>
    <row r="1823" spans="3:3" x14ac:dyDescent="0.25">
      <c r="C1823" s="11"/>
    </row>
    <row r="1824" spans="3:3" x14ac:dyDescent="0.25">
      <c r="C1824" s="11"/>
    </row>
    <row r="1825" spans="3:3" x14ac:dyDescent="0.25">
      <c r="C1825" s="11"/>
    </row>
    <row r="1826" spans="3:3" x14ac:dyDescent="0.25">
      <c r="C1826" s="11"/>
    </row>
    <row r="1827" spans="3:3" x14ac:dyDescent="0.25">
      <c r="C1827" s="11"/>
    </row>
    <row r="1828" spans="3:3" x14ac:dyDescent="0.25">
      <c r="C1828" s="11"/>
    </row>
    <row r="1829" spans="3:3" x14ac:dyDescent="0.25">
      <c r="C1829" s="11"/>
    </row>
    <row r="1830" spans="3:3" x14ac:dyDescent="0.25">
      <c r="C1830" s="11"/>
    </row>
    <row r="1831" spans="3:3" x14ac:dyDescent="0.25">
      <c r="C1831" s="11"/>
    </row>
    <row r="1832" spans="3:3" x14ac:dyDescent="0.25">
      <c r="C1832" s="11"/>
    </row>
    <row r="1833" spans="3:3" x14ac:dyDescent="0.25">
      <c r="C1833" s="11"/>
    </row>
    <row r="1834" spans="3:3" x14ac:dyDescent="0.25">
      <c r="C1834" s="11"/>
    </row>
    <row r="1835" spans="3:3" x14ac:dyDescent="0.25">
      <c r="C1835" s="11"/>
    </row>
    <row r="1836" spans="3:3" x14ac:dyDescent="0.25">
      <c r="C1836" s="11"/>
    </row>
    <row r="1837" spans="3:3" x14ac:dyDescent="0.25">
      <c r="C1837" s="11"/>
    </row>
    <row r="1838" spans="3:3" x14ac:dyDescent="0.25">
      <c r="C1838" s="11"/>
    </row>
    <row r="1839" spans="3:3" x14ac:dyDescent="0.25">
      <c r="C1839" s="11"/>
    </row>
    <row r="1840" spans="3:3" x14ac:dyDescent="0.25">
      <c r="C1840" s="11"/>
    </row>
    <row r="1841" spans="3:3" x14ac:dyDescent="0.25">
      <c r="C1841" s="11"/>
    </row>
    <row r="1842" spans="3:3" x14ac:dyDescent="0.25">
      <c r="C1842" s="11"/>
    </row>
    <row r="1843" spans="3:3" x14ac:dyDescent="0.25">
      <c r="C1843" s="11"/>
    </row>
    <row r="1844" spans="3:3" x14ac:dyDescent="0.25">
      <c r="C1844" s="11"/>
    </row>
    <row r="1845" spans="3:3" x14ac:dyDescent="0.25">
      <c r="C1845" s="11"/>
    </row>
    <row r="1846" spans="3:3" x14ac:dyDescent="0.25">
      <c r="C1846" s="11"/>
    </row>
    <row r="1847" spans="3:3" x14ac:dyDescent="0.25">
      <c r="C1847" s="11"/>
    </row>
    <row r="1848" spans="3:3" x14ac:dyDescent="0.25">
      <c r="C1848" s="11"/>
    </row>
    <row r="1849" spans="3:3" x14ac:dyDescent="0.25">
      <c r="C1849" s="11"/>
    </row>
    <row r="1850" spans="3:3" x14ac:dyDescent="0.25">
      <c r="C1850" s="11"/>
    </row>
    <row r="1851" spans="3:3" x14ac:dyDescent="0.25">
      <c r="C1851" s="11"/>
    </row>
    <row r="1852" spans="3:3" x14ac:dyDescent="0.25">
      <c r="C1852" s="11"/>
    </row>
    <row r="1853" spans="3:3" x14ac:dyDescent="0.25">
      <c r="C1853" s="11"/>
    </row>
    <row r="1854" spans="3:3" x14ac:dyDescent="0.25">
      <c r="C1854" s="11"/>
    </row>
    <row r="1855" spans="3:3" x14ac:dyDescent="0.25">
      <c r="C1855" s="11"/>
    </row>
    <row r="1856" spans="3:3" x14ac:dyDescent="0.25">
      <c r="C1856" s="11"/>
    </row>
    <row r="1857" spans="3:3" x14ac:dyDescent="0.25">
      <c r="C1857" s="11"/>
    </row>
    <row r="1858" spans="3:3" x14ac:dyDescent="0.25">
      <c r="C1858" s="11"/>
    </row>
    <row r="1859" spans="3:3" x14ac:dyDescent="0.25">
      <c r="C1859" s="11"/>
    </row>
    <row r="1860" spans="3:3" x14ac:dyDescent="0.25">
      <c r="C1860" s="11"/>
    </row>
    <row r="1861" spans="3:3" x14ac:dyDescent="0.25">
      <c r="C1861" s="11"/>
    </row>
    <row r="1862" spans="3:3" x14ac:dyDescent="0.25">
      <c r="C1862" s="11"/>
    </row>
    <row r="1863" spans="3:3" x14ac:dyDescent="0.25">
      <c r="C1863" s="11"/>
    </row>
    <row r="1864" spans="3:3" x14ac:dyDescent="0.25">
      <c r="C1864" s="11"/>
    </row>
    <row r="1865" spans="3:3" x14ac:dyDescent="0.25">
      <c r="C1865" s="11"/>
    </row>
    <row r="1866" spans="3:3" x14ac:dyDescent="0.25">
      <c r="C1866" s="11"/>
    </row>
    <row r="1867" spans="3:3" x14ac:dyDescent="0.25">
      <c r="C1867" s="11"/>
    </row>
    <row r="1868" spans="3:3" x14ac:dyDescent="0.25">
      <c r="C1868" s="11"/>
    </row>
    <row r="1869" spans="3:3" x14ac:dyDescent="0.25">
      <c r="C1869" s="11"/>
    </row>
    <row r="1870" spans="3:3" x14ac:dyDescent="0.25">
      <c r="C1870" s="11"/>
    </row>
    <row r="1871" spans="3:3" x14ac:dyDescent="0.25">
      <c r="C1871" s="11"/>
    </row>
    <row r="1872" spans="3:3" x14ac:dyDescent="0.25">
      <c r="C1872" s="11"/>
    </row>
    <row r="1873" spans="3:3" x14ac:dyDescent="0.25">
      <c r="C1873" s="11"/>
    </row>
    <row r="1874" spans="3:3" x14ac:dyDescent="0.25">
      <c r="C1874" s="11"/>
    </row>
    <row r="1875" spans="3:3" x14ac:dyDescent="0.25">
      <c r="C1875" s="11"/>
    </row>
    <row r="1876" spans="3:3" x14ac:dyDescent="0.25">
      <c r="C1876" s="11"/>
    </row>
    <row r="1877" spans="3:3" x14ac:dyDescent="0.25">
      <c r="C1877" s="11"/>
    </row>
    <row r="1878" spans="3:3" x14ac:dyDescent="0.25">
      <c r="C1878" s="11"/>
    </row>
    <row r="1879" spans="3:3" x14ac:dyDescent="0.25">
      <c r="C1879" s="11"/>
    </row>
    <row r="1880" spans="3:3" x14ac:dyDescent="0.25">
      <c r="C1880" s="11"/>
    </row>
    <row r="1881" spans="3:3" x14ac:dyDescent="0.25">
      <c r="C1881" s="11"/>
    </row>
    <row r="1882" spans="3:3" x14ac:dyDescent="0.25">
      <c r="C1882" s="11"/>
    </row>
    <row r="1883" spans="3:3" x14ac:dyDescent="0.25">
      <c r="C1883" s="11"/>
    </row>
    <row r="1884" spans="3:3" x14ac:dyDescent="0.25">
      <c r="C1884" s="11"/>
    </row>
    <row r="1885" spans="3:3" x14ac:dyDescent="0.25">
      <c r="C1885" s="11"/>
    </row>
    <row r="1886" spans="3:3" x14ac:dyDescent="0.25">
      <c r="C1886" s="11"/>
    </row>
    <row r="1887" spans="3:3" x14ac:dyDescent="0.25">
      <c r="C1887" s="11"/>
    </row>
    <row r="1888" spans="3:3" x14ac:dyDescent="0.25">
      <c r="C1888" s="11"/>
    </row>
    <row r="1889" spans="3:3" x14ac:dyDescent="0.25">
      <c r="C1889" s="11"/>
    </row>
    <row r="1890" spans="3:3" x14ac:dyDescent="0.25">
      <c r="C1890" s="11"/>
    </row>
    <row r="1891" spans="3:3" x14ac:dyDescent="0.25">
      <c r="C1891" s="11"/>
    </row>
    <row r="1892" spans="3:3" x14ac:dyDescent="0.25">
      <c r="C1892" s="11"/>
    </row>
    <row r="1893" spans="3:3" x14ac:dyDescent="0.25">
      <c r="C1893" s="11"/>
    </row>
    <row r="1894" spans="3:3" x14ac:dyDescent="0.25">
      <c r="C1894" s="11"/>
    </row>
    <row r="1895" spans="3:3" x14ac:dyDescent="0.25">
      <c r="C1895" s="11"/>
    </row>
    <row r="1896" spans="3:3" x14ac:dyDescent="0.25">
      <c r="C1896" s="11"/>
    </row>
    <row r="1897" spans="3:3" x14ac:dyDescent="0.25">
      <c r="C1897" s="11"/>
    </row>
    <row r="1898" spans="3:3" x14ac:dyDescent="0.25">
      <c r="C1898" s="11"/>
    </row>
    <row r="1899" spans="3:3" x14ac:dyDescent="0.25">
      <c r="C1899" s="11"/>
    </row>
    <row r="1900" spans="3:3" x14ac:dyDescent="0.25">
      <c r="C1900" s="11"/>
    </row>
    <row r="1901" spans="3:3" x14ac:dyDescent="0.25">
      <c r="C1901" s="11"/>
    </row>
    <row r="1902" spans="3:3" x14ac:dyDescent="0.25">
      <c r="C1902" s="11"/>
    </row>
    <row r="1903" spans="3:3" x14ac:dyDescent="0.25">
      <c r="C1903" s="11"/>
    </row>
    <row r="1904" spans="3:3" x14ac:dyDescent="0.25">
      <c r="C1904" s="11"/>
    </row>
    <row r="1905" spans="3:3" x14ac:dyDescent="0.25">
      <c r="C1905" s="11"/>
    </row>
    <row r="1906" spans="3:3" x14ac:dyDescent="0.25">
      <c r="C1906" s="11"/>
    </row>
    <row r="1907" spans="3:3" x14ac:dyDescent="0.25">
      <c r="C1907" s="11"/>
    </row>
    <row r="1908" spans="3:3" x14ac:dyDescent="0.25">
      <c r="C1908" s="11"/>
    </row>
    <row r="1909" spans="3:3" x14ac:dyDescent="0.25">
      <c r="C1909" s="11"/>
    </row>
    <row r="1910" spans="3:3" x14ac:dyDescent="0.25">
      <c r="C1910" s="11"/>
    </row>
    <row r="1911" spans="3:3" x14ac:dyDescent="0.25">
      <c r="C1911" s="11"/>
    </row>
    <row r="1912" spans="3:3" x14ac:dyDescent="0.25">
      <c r="C1912" s="11"/>
    </row>
    <row r="1913" spans="3:3" x14ac:dyDescent="0.25">
      <c r="C1913" s="11"/>
    </row>
    <row r="1914" spans="3:3" x14ac:dyDescent="0.25">
      <c r="C1914" s="11"/>
    </row>
    <row r="1915" spans="3:3" x14ac:dyDescent="0.25">
      <c r="C1915" s="11"/>
    </row>
    <row r="1916" spans="3:3" x14ac:dyDescent="0.25">
      <c r="C1916" s="11"/>
    </row>
    <row r="1917" spans="3:3" x14ac:dyDescent="0.25">
      <c r="C1917" s="11"/>
    </row>
    <row r="1918" spans="3:3" x14ac:dyDescent="0.25">
      <c r="C1918" s="11"/>
    </row>
    <row r="1919" spans="3:3" x14ac:dyDescent="0.25">
      <c r="C1919" s="11"/>
    </row>
    <row r="1920" spans="3:3" x14ac:dyDescent="0.25">
      <c r="C1920" s="11"/>
    </row>
    <row r="1921" spans="3:3" x14ac:dyDescent="0.25">
      <c r="C1921" s="11"/>
    </row>
    <row r="1922" spans="3:3" x14ac:dyDescent="0.25">
      <c r="C1922" s="11"/>
    </row>
    <row r="1923" spans="3:3" x14ac:dyDescent="0.25">
      <c r="C1923" s="11"/>
    </row>
    <row r="1924" spans="3:3" x14ac:dyDescent="0.25">
      <c r="C1924" s="11"/>
    </row>
    <row r="1925" spans="3:3" x14ac:dyDescent="0.25">
      <c r="C1925" s="11"/>
    </row>
    <row r="1926" spans="3:3" x14ac:dyDescent="0.25">
      <c r="C1926" s="11"/>
    </row>
    <row r="1927" spans="3:3" x14ac:dyDescent="0.25">
      <c r="C1927" s="11"/>
    </row>
    <row r="1928" spans="3:3" x14ac:dyDescent="0.25">
      <c r="C1928" s="11"/>
    </row>
    <row r="1929" spans="3:3" x14ac:dyDescent="0.25">
      <c r="C1929" s="11"/>
    </row>
    <row r="1930" spans="3:3" x14ac:dyDescent="0.25">
      <c r="C1930" s="11"/>
    </row>
    <row r="1931" spans="3:3" x14ac:dyDescent="0.25">
      <c r="C1931" s="11"/>
    </row>
    <row r="1932" spans="3:3" x14ac:dyDescent="0.25">
      <c r="C1932" s="11"/>
    </row>
    <row r="1933" spans="3:3" x14ac:dyDescent="0.25">
      <c r="C1933" s="11"/>
    </row>
    <row r="1934" spans="3:3" x14ac:dyDescent="0.25">
      <c r="C1934" s="11"/>
    </row>
    <row r="1935" spans="3:3" x14ac:dyDescent="0.25">
      <c r="C1935" s="11"/>
    </row>
    <row r="1936" spans="3:3" x14ac:dyDescent="0.25">
      <c r="C1936" s="11"/>
    </row>
    <row r="1937" spans="3:3" x14ac:dyDescent="0.25">
      <c r="C1937" s="11"/>
    </row>
    <row r="1938" spans="3:3" x14ac:dyDescent="0.25">
      <c r="C1938" s="11"/>
    </row>
    <row r="1939" spans="3:3" x14ac:dyDescent="0.25">
      <c r="C1939" s="11"/>
    </row>
    <row r="1940" spans="3:3" x14ac:dyDescent="0.25">
      <c r="C1940" s="11"/>
    </row>
    <row r="1941" spans="3:3" x14ac:dyDescent="0.25">
      <c r="C1941" s="11"/>
    </row>
    <row r="1942" spans="3:3" x14ac:dyDescent="0.25">
      <c r="C1942" s="11"/>
    </row>
    <row r="1943" spans="3:3" x14ac:dyDescent="0.25">
      <c r="C1943" s="11"/>
    </row>
    <row r="1944" spans="3:3" x14ac:dyDescent="0.25">
      <c r="C1944" s="11"/>
    </row>
    <row r="1945" spans="3:3" x14ac:dyDescent="0.25">
      <c r="C1945" s="11"/>
    </row>
    <row r="1946" spans="3:3" x14ac:dyDescent="0.25">
      <c r="C1946" s="11"/>
    </row>
    <row r="1947" spans="3:3" x14ac:dyDescent="0.25">
      <c r="C1947" s="11"/>
    </row>
    <row r="1948" spans="3:3" x14ac:dyDescent="0.25">
      <c r="C1948" s="11"/>
    </row>
    <row r="1949" spans="3:3" x14ac:dyDescent="0.25">
      <c r="C1949" s="11"/>
    </row>
    <row r="1950" spans="3:3" x14ac:dyDescent="0.25">
      <c r="C1950" s="11"/>
    </row>
    <row r="1951" spans="3:3" x14ac:dyDescent="0.25">
      <c r="C1951" s="11"/>
    </row>
    <row r="1952" spans="3:3" x14ac:dyDescent="0.25">
      <c r="C1952" s="11"/>
    </row>
    <row r="1953" spans="3:3" x14ac:dyDescent="0.25">
      <c r="C1953" s="11"/>
    </row>
    <row r="1954" spans="3:3" x14ac:dyDescent="0.25">
      <c r="C1954" s="11"/>
    </row>
    <row r="1955" spans="3:3" x14ac:dyDescent="0.25">
      <c r="C1955" s="11"/>
    </row>
    <row r="1956" spans="3:3" x14ac:dyDescent="0.25">
      <c r="C1956" s="11"/>
    </row>
    <row r="1957" spans="3:3" x14ac:dyDescent="0.25">
      <c r="C1957" s="11"/>
    </row>
    <row r="1958" spans="3:3" x14ac:dyDescent="0.25">
      <c r="C1958" s="11"/>
    </row>
    <row r="1959" spans="3:3" x14ac:dyDescent="0.25">
      <c r="C1959" s="11"/>
    </row>
    <row r="1960" spans="3:3" x14ac:dyDescent="0.25">
      <c r="C1960" s="11"/>
    </row>
    <row r="1961" spans="3:3" x14ac:dyDescent="0.25">
      <c r="C1961" s="11"/>
    </row>
    <row r="1962" spans="3:3" x14ac:dyDescent="0.25">
      <c r="C1962" s="11"/>
    </row>
    <row r="1963" spans="3:3" x14ac:dyDescent="0.25">
      <c r="C1963" s="11"/>
    </row>
    <row r="1964" spans="3:3" x14ac:dyDescent="0.25">
      <c r="C1964" s="11"/>
    </row>
    <row r="1965" spans="3:3" x14ac:dyDescent="0.25">
      <c r="C1965" s="11"/>
    </row>
    <row r="1966" spans="3:3" x14ac:dyDescent="0.25">
      <c r="C1966" s="11"/>
    </row>
    <row r="1967" spans="3:3" x14ac:dyDescent="0.25">
      <c r="C1967" s="11"/>
    </row>
    <row r="1968" spans="3:3" x14ac:dyDescent="0.25">
      <c r="C1968" s="11"/>
    </row>
    <row r="1969" spans="3:3" x14ac:dyDescent="0.25">
      <c r="C1969" s="11"/>
    </row>
    <row r="1970" spans="3:3" x14ac:dyDescent="0.25">
      <c r="C1970" s="11"/>
    </row>
    <row r="1971" spans="3:3" x14ac:dyDescent="0.25">
      <c r="C1971" s="11"/>
    </row>
    <row r="1972" spans="3:3" x14ac:dyDescent="0.25">
      <c r="C1972" s="11"/>
    </row>
    <row r="1973" spans="3:3" x14ac:dyDescent="0.25">
      <c r="C1973" s="11"/>
    </row>
    <row r="1974" spans="3:3" x14ac:dyDescent="0.25">
      <c r="C1974" s="11"/>
    </row>
    <row r="1975" spans="3:3" x14ac:dyDescent="0.25">
      <c r="C1975" s="11"/>
    </row>
    <row r="1976" spans="3:3" x14ac:dyDescent="0.25">
      <c r="C1976" s="11"/>
    </row>
    <row r="1977" spans="3:3" x14ac:dyDescent="0.25">
      <c r="C1977" s="11"/>
    </row>
    <row r="1978" spans="3:3" x14ac:dyDescent="0.25">
      <c r="C1978" s="11"/>
    </row>
    <row r="1979" spans="3:3" x14ac:dyDescent="0.25">
      <c r="C1979" s="11"/>
    </row>
    <row r="1980" spans="3:3" x14ac:dyDescent="0.25">
      <c r="C1980" s="11"/>
    </row>
    <row r="1981" spans="3:3" x14ac:dyDescent="0.25">
      <c r="C1981" s="11"/>
    </row>
    <row r="1982" spans="3:3" x14ac:dyDescent="0.25">
      <c r="C1982" s="11"/>
    </row>
    <row r="1983" spans="3:3" x14ac:dyDescent="0.25">
      <c r="C1983" s="11"/>
    </row>
    <row r="1984" spans="3:3" x14ac:dyDescent="0.25">
      <c r="C1984" s="11"/>
    </row>
    <row r="1985" spans="3:3" x14ac:dyDescent="0.25">
      <c r="C1985" s="11"/>
    </row>
    <row r="1986" spans="3:3" x14ac:dyDescent="0.25">
      <c r="C1986" s="11"/>
    </row>
    <row r="1987" spans="3:3" x14ac:dyDescent="0.25">
      <c r="C1987" s="11"/>
    </row>
    <row r="1988" spans="3:3" x14ac:dyDescent="0.25">
      <c r="C1988" s="11"/>
    </row>
    <row r="1989" spans="3:3" x14ac:dyDescent="0.25">
      <c r="C1989" s="11"/>
    </row>
    <row r="1990" spans="3:3" x14ac:dyDescent="0.25">
      <c r="C1990" s="11"/>
    </row>
    <row r="1991" spans="3:3" x14ac:dyDescent="0.25">
      <c r="C1991" s="11"/>
    </row>
    <row r="1992" spans="3:3" x14ac:dyDescent="0.25">
      <c r="C1992" s="11"/>
    </row>
    <row r="1993" spans="3:3" x14ac:dyDescent="0.25">
      <c r="C1993" s="11"/>
    </row>
    <row r="1994" spans="3:3" x14ac:dyDescent="0.25">
      <c r="C1994" s="11"/>
    </row>
    <row r="1995" spans="3:3" x14ac:dyDescent="0.25">
      <c r="C1995" s="11"/>
    </row>
    <row r="1996" spans="3:3" x14ac:dyDescent="0.25">
      <c r="C1996" s="11"/>
    </row>
    <row r="1997" spans="3:3" x14ac:dyDescent="0.25">
      <c r="C1997" s="11"/>
    </row>
    <row r="1998" spans="3:3" x14ac:dyDescent="0.25">
      <c r="C1998" s="11"/>
    </row>
    <row r="1999" spans="3:3" x14ac:dyDescent="0.25">
      <c r="C1999" s="11"/>
    </row>
    <row r="2000" spans="3:3" x14ac:dyDescent="0.25">
      <c r="C2000" s="11"/>
    </row>
    <row r="2001" spans="3:3" x14ac:dyDescent="0.25">
      <c r="C2001" s="11"/>
    </row>
    <row r="2002" spans="3:3" x14ac:dyDescent="0.25">
      <c r="C2002" s="11"/>
    </row>
    <row r="2003" spans="3:3" x14ac:dyDescent="0.25">
      <c r="C2003" s="11"/>
    </row>
    <row r="2004" spans="3:3" x14ac:dyDescent="0.25">
      <c r="C2004" s="11"/>
    </row>
    <row r="2005" spans="3:3" x14ac:dyDescent="0.25">
      <c r="C2005" s="11"/>
    </row>
    <row r="2006" spans="3:3" x14ac:dyDescent="0.25">
      <c r="C2006" s="11"/>
    </row>
    <row r="2007" spans="3:3" x14ac:dyDescent="0.25">
      <c r="C2007" s="11"/>
    </row>
    <row r="2008" spans="3:3" x14ac:dyDescent="0.25">
      <c r="C2008" s="11"/>
    </row>
    <row r="2009" spans="3:3" x14ac:dyDescent="0.25">
      <c r="C2009" s="11"/>
    </row>
    <row r="2010" spans="3:3" x14ac:dyDescent="0.25">
      <c r="C2010" s="11"/>
    </row>
    <row r="2011" spans="3:3" x14ac:dyDescent="0.25">
      <c r="C2011" s="11"/>
    </row>
    <row r="2012" spans="3:3" x14ac:dyDescent="0.25">
      <c r="C2012" s="11"/>
    </row>
    <row r="2013" spans="3:3" x14ac:dyDescent="0.25">
      <c r="C2013" s="11"/>
    </row>
    <row r="2014" spans="3:3" x14ac:dyDescent="0.25">
      <c r="C2014" s="11"/>
    </row>
    <row r="2015" spans="3:3" x14ac:dyDescent="0.25">
      <c r="C2015" s="11"/>
    </row>
    <row r="2016" spans="3:3" x14ac:dyDescent="0.25">
      <c r="C2016" s="11"/>
    </row>
    <row r="2017" spans="3:3" x14ac:dyDescent="0.25">
      <c r="C2017" s="11"/>
    </row>
    <row r="2018" spans="3:3" x14ac:dyDescent="0.25">
      <c r="C2018" s="11"/>
    </row>
    <row r="2019" spans="3:3" x14ac:dyDescent="0.25">
      <c r="C2019" s="11"/>
    </row>
    <row r="2020" spans="3:3" x14ac:dyDescent="0.25">
      <c r="C2020" s="11"/>
    </row>
    <row r="2021" spans="3:3" x14ac:dyDescent="0.25">
      <c r="C2021" s="11"/>
    </row>
    <row r="2022" spans="3:3" x14ac:dyDescent="0.25">
      <c r="C2022" s="11"/>
    </row>
    <row r="2023" spans="3:3" x14ac:dyDescent="0.25">
      <c r="C2023" s="11"/>
    </row>
    <row r="2024" spans="3:3" x14ac:dyDescent="0.25">
      <c r="C2024" s="11"/>
    </row>
    <row r="2025" spans="3:3" x14ac:dyDescent="0.25">
      <c r="C2025" s="11"/>
    </row>
    <row r="2026" spans="3:3" x14ac:dyDescent="0.25">
      <c r="C2026" s="11"/>
    </row>
    <row r="2027" spans="3:3" x14ac:dyDescent="0.25">
      <c r="C2027" s="11"/>
    </row>
    <row r="2028" spans="3:3" x14ac:dyDescent="0.25">
      <c r="C2028" s="11"/>
    </row>
    <row r="2029" spans="3:3" x14ac:dyDescent="0.25">
      <c r="C2029" s="11"/>
    </row>
    <row r="2030" spans="3:3" x14ac:dyDescent="0.25">
      <c r="C2030" s="11"/>
    </row>
    <row r="2031" spans="3:3" x14ac:dyDescent="0.25">
      <c r="C2031" s="11"/>
    </row>
    <row r="2032" spans="3:3" x14ac:dyDescent="0.25">
      <c r="C2032" s="11"/>
    </row>
    <row r="2033" spans="3:3" x14ac:dyDescent="0.25">
      <c r="C2033" s="11"/>
    </row>
    <row r="2034" spans="3:3" x14ac:dyDescent="0.25">
      <c r="C2034" s="11"/>
    </row>
    <row r="2035" spans="3:3" x14ac:dyDescent="0.25">
      <c r="C2035" s="11"/>
    </row>
    <row r="2036" spans="3:3" x14ac:dyDescent="0.25">
      <c r="C2036" s="11"/>
    </row>
    <row r="2037" spans="3:3" x14ac:dyDescent="0.25">
      <c r="C2037" s="11"/>
    </row>
    <row r="2038" spans="3:3" x14ac:dyDescent="0.25">
      <c r="C2038" s="11"/>
    </row>
    <row r="2039" spans="3:3" x14ac:dyDescent="0.25">
      <c r="C2039" s="11"/>
    </row>
    <row r="2040" spans="3:3" x14ac:dyDescent="0.25">
      <c r="C2040" s="11"/>
    </row>
    <row r="2041" spans="3:3" x14ac:dyDescent="0.25">
      <c r="C2041" s="11"/>
    </row>
    <row r="2042" spans="3:3" x14ac:dyDescent="0.25">
      <c r="C2042" s="11"/>
    </row>
    <row r="2043" spans="3:3" x14ac:dyDescent="0.25">
      <c r="C2043" s="11"/>
    </row>
    <row r="2044" spans="3:3" x14ac:dyDescent="0.25">
      <c r="C2044" s="11"/>
    </row>
    <row r="2045" spans="3:3" x14ac:dyDescent="0.25">
      <c r="C2045" s="11"/>
    </row>
    <row r="2046" spans="3:3" x14ac:dyDescent="0.25">
      <c r="C2046" s="11"/>
    </row>
    <row r="2047" spans="3:3" x14ac:dyDescent="0.25">
      <c r="C2047" s="11"/>
    </row>
    <row r="2048" spans="3:3" x14ac:dyDescent="0.25">
      <c r="C2048" s="11"/>
    </row>
    <row r="2049" spans="3:3" x14ac:dyDescent="0.25">
      <c r="C2049" s="11"/>
    </row>
    <row r="2050" spans="3:3" x14ac:dyDescent="0.25">
      <c r="C2050" s="11"/>
    </row>
    <row r="2051" spans="3:3" x14ac:dyDescent="0.25">
      <c r="C2051" s="11"/>
    </row>
    <row r="2052" spans="3:3" x14ac:dyDescent="0.25">
      <c r="C2052" s="11"/>
    </row>
    <row r="2053" spans="3:3" x14ac:dyDescent="0.25">
      <c r="C2053" s="11"/>
    </row>
    <row r="2054" spans="3:3" x14ac:dyDescent="0.25">
      <c r="C2054" s="11"/>
    </row>
    <row r="2055" spans="3:3" x14ac:dyDescent="0.25">
      <c r="C2055" s="11"/>
    </row>
    <row r="2056" spans="3:3" x14ac:dyDescent="0.25">
      <c r="C2056" s="11"/>
    </row>
    <row r="2057" spans="3:3" x14ac:dyDescent="0.25">
      <c r="C2057" s="11"/>
    </row>
    <row r="2058" spans="3:3" x14ac:dyDescent="0.25">
      <c r="C2058" s="11"/>
    </row>
    <row r="2059" spans="3:3" x14ac:dyDescent="0.25">
      <c r="C2059" s="11"/>
    </row>
    <row r="2060" spans="3:3" x14ac:dyDescent="0.25">
      <c r="C2060" s="11"/>
    </row>
    <row r="2061" spans="3:3" x14ac:dyDescent="0.25">
      <c r="C2061" s="11"/>
    </row>
    <row r="2062" spans="3:3" x14ac:dyDescent="0.25">
      <c r="C2062" s="11"/>
    </row>
    <row r="2063" spans="3:3" x14ac:dyDescent="0.25">
      <c r="C2063" s="11"/>
    </row>
    <row r="2064" spans="3:3" x14ac:dyDescent="0.25">
      <c r="C2064" s="11"/>
    </row>
    <row r="2065" spans="3:3" x14ac:dyDescent="0.25">
      <c r="C2065" s="11"/>
    </row>
    <row r="2066" spans="3:3" x14ac:dyDescent="0.25">
      <c r="C2066" s="11"/>
    </row>
    <row r="2067" spans="3:3" x14ac:dyDescent="0.25">
      <c r="C2067" s="11"/>
    </row>
    <row r="2068" spans="3:3" x14ac:dyDescent="0.25">
      <c r="C2068" s="11"/>
    </row>
    <row r="2069" spans="3:3" x14ac:dyDescent="0.25">
      <c r="C2069" s="11"/>
    </row>
    <row r="2070" spans="3:3" x14ac:dyDescent="0.25">
      <c r="C2070" s="11"/>
    </row>
    <row r="2071" spans="3:3" x14ac:dyDescent="0.25">
      <c r="C2071" s="11"/>
    </row>
    <row r="2072" spans="3:3" x14ac:dyDescent="0.25">
      <c r="C2072" s="11"/>
    </row>
    <row r="2073" spans="3:3" x14ac:dyDescent="0.25">
      <c r="C2073" s="11"/>
    </row>
    <row r="2074" spans="3:3" x14ac:dyDescent="0.25">
      <c r="C2074" s="11"/>
    </row>
    <row r="2075" spans="3:3" x14ac:dyDescent="0.25">
      <c r="C2075" s="11"/>
    </row>
    <row r="2076" spans="3:3" x14ac:dyDescent="0.25">
      <c r="C2076" s="11"/>
    </row>
    <row r="2077" spans="3:3" x14ac:dyDescent="0.25">
      <c r="C2077" s="11"/>
    </row>
    <row r="2078" spans="3:3" x14ac:dyDescent="0.25">
      <c r="C2078" s="11"/>
    </row>
    <row r="2079" spans="3:3" x14ac:dyDescent="0.25">
      <c r="C2079" s="11"/>
    </row>
    <row r="2080" spans="3:3" x14ac:dyDescent="0.25">
      <c r="C2080" s="11"/>
    </row>
    <row r="2081" spans="3:3" x14ac:dyDescent="0.25">
      <c r="C2081" s="11"/>
    </row>
    <row r="2082" spans="3:3" x14ac:dyDescent="0.25">
      <c r="C2082" s="11"/>
    </row>
    <row r="2083" spans="3:3" x14ac:dyDescent="0.25">
      <c r="C2083" s="11"/>
    </row>
    <row r="2084" spans="3:3" x14ac:dyDescent="0.25">
      <c r="C2084" s="11"/>
    </row>
    <row r="2085" spans="3:3" x14ac:dyDescent="0.25">
      <c r="C2085" s="11"/>
    </row>
    <row r="2086" spans="3:3" x14ac:dyDescent="0.25">
      <c r="C2086" s="11"/>
    </row>
    <row r="2087" spans="3:3" x14ac:dyDescent="0.25">
      <c r="C2087" s="11"/>
    </row>
    <row r="2088" spans="3:3" x14ac:dyDescent="0.25">
      <c r="C2088" s="11"/>
    </row>
    <row r="2089" spans="3:3" x14ac:dyDescent="0.25">
      <c r="C2089" s="11"/>
    </row>
    <row r="2090" spans="3:3" x14ac:dyDescent="0.25">
      <c r="C2090" s="11"/>
    </row>
    <row r="2091" spans="3:3" x14ac:dyDescent="0.25">
      <c r="C2091" s="11"/>
    </row>
    <row r="2092" spans="3:3" x14ac:dyDescent="0.25">
      <c r="C2092" s="11"/>
    </row>
    <row r="2093" spans="3:3" x14ac:dyDescent="0.25">
      <c r="C2093" s="11"/>
    </row>
    <row r="2094" spans="3:3" x14ac:dyDescent="0.25">
      <c r="C2094" s="11"/>
    </row>
    <row r="2095" spans="3:3" x14ac:dyDescent="0.25">
      <c r="C2095" s="11"/>
    </row>
    <row r="2096" spans="3:3" x14ac:dyDescent="0.25">
      <c r="C2096" s="11"/>
    </row>
    <row r="2097" spans="3:3" x14ac:dyDescent="0.25">
      <c r="C2097" s="11"/>
    </row>
    <row r="2098" spans="3:3" x14ac:dyDescent="0.25">
      <c r="C2098" s="11"/>
    </row>
    <row r="2099" spans="3:3" x14ac:dyDescent="0.25">
      <c r="C2099" s="11"/>
    </row>
    <row r="2100" spans="3:3" x14ac:dyDescent="0.25">
      <c r="C2100" s="11"/>
    </row>
    <row r="2101" spans="3:3" x14ac:dyDescent="0.25">
      <c r="C2101" s="11"/>
    </row>
    <row r="2102" spans="3:3" x14ac:dyDescent="0.25">
      <c r="C2102" s="11"/>
    </row>
    <row r="2103" spans="3:3" x14ac:dyDescent="0.25">
      <c r="C2103" s="11"/>
    </row>
    <row r="2104" spans="3:3" x14ac:dyDescent="0.25">
      <c r="C2104" s="11"/>
    </row>
    <row r="2105" spans="3:3" x14ac:dyDescent="0.25">
      <c r="C2105" s="11"/>
    </row>
    <row r="2106" spans="3:3" x14ac:dyDescent="0.25">
      <c r="C2106" s="11"/>
    </row>
    <row r="2107" spans="3:3" x14ac:dyDescent="0.25">
      <c r="C2107" s="11"/>
    </row>
    <row r="2108" spans="3:3" x14ac:dyDescent="0.25">
      <c r="C2108" s="11"/>
    </row>
    <row r="2109" spans="3:3" x14ac:dyDescent="0.25">
      <c r="C2109" s="11"/>
    </row>
    <row r="2110" spans="3:3" x14ac:dyDescent="0.25">
      <c r="C2110" s="11"/>
    </row>
    <row r="2111" spans="3:3" x14ac:dyDescent="0.25">
      <c r="C2111" s="11"/>
    </row>
    <row r="2112" spans="3:3" x14ac:dyDescent="0.25">
      <c r="C2112" s="11"/>
    </row>
    <row r="2113" spans="3:3" x14ac:dyDescent="0.25">
      <c r="C2113" s="11"/>
    </row>
    <row r="2114" spans="3:3" x14ac:dyDescent="0.25">
      <c r="C2114" s="11"/>
    </row>
    <row r="2115" spans="3:3" x14ac:dyDescent="0.25">
      <c r="C2115" s="11"/>
    </row>
    <row r="2116" spans="3:3" x14ac:dyDescent="0.25">
      <c r="C2116" s="11"/>
    </row>
    <row r="2117" spans="3:3" x14ac:dyDescent="0.25">
      <c r="C2117" s="11"/>
    </row>
    <row r="2118" spans="3:3" x14ac:dyDescent="0.25">
      <c r="C2118" s="11"/>
    </row>
    <row r="2119" spans="3:3" x14ac:dyDescent="0.25">
      <c r="C2119" s="11"/>
    </row>
    <row r="2120" spans="3:3" x14ac:dyDescent="0.25">
      <c r="C2120" s="11"/>
    </row>
    <row r="2121" spans="3:3" x14ac:dyDescent="0.25">
      <c r="C2121" s="11"/>
    </row>
    <row r="2122" spans="3:3" x14ac:dyDescent="0.25">
      <c r="C2122" s="11"/>
    </row>
    <row r="2123" spans="3:3" x14ac:dyDescent="0.25">
      <c r="C2123" s="11"/>
    </row>
    <row r="2124" spans="3:3" x14ac:dyDescent="0.25">
      <c r="C2124" s="11"/>
    </row>
    <row r="2125" spans="3:3" x14ac:dyDescent="0.25">
      <c r="C2125" s="11"/>
    </row>
    <row r="2126" spans="3:3" x14ac:dyDescent="0.25">
      <c r="C2126" s="11"/>
    </row>
    <row r="2127" spans="3:3" x14ac:dyDescent="0.25">
      <c r="C2127" s="11"/>
    </row>
    <row r="2128" spans="3:3" x14ac:dyDescent="0.25">
      <c r="C2128" s="11"/>
    </row>
    <row r="2129" spans="3:3" x14ac:dyDescent="0.25">
      <c r="C2129" s="11"/>
    </row>
    <row r="2130" spans="3:3" x14ac:dyDescent="0.25">
      <c r="C2130" s="11"/>
    </row>
    <row r="2131" spans="3:3" x14ac:dyDescent="0.25">
      <c r="C2131" s="11"/>
    </row>
    <row r="2132" spans="3:3" x14ac:dyDescent="0.25">
      <c r="C2132" s="11"/>
    </row>
    <row r="2133" spans="3:3" x14ac:dyDescent="0.25">
      <c r="C2133" s="11"/>
    </row>
    <row r="2134" spans="3:3" x14ac:dyDescent="0.25">
      <c r="C2134" s="11"/>
    </row>
    <row r="2135" spans="3:3" x14ac:dyDescent="0.25">
      <c r="C2135" s="11"/>
    </row>
    <row r="2136" spans="3:3" x14ac:dyDescent="0.25">
      <c r="C2136" s="11"/>
    </row>
    <row r="2137" spans="3:3" x14ac:dyDescent="0.25">
      <c r="C2137" s="11"/>
    </row>
    <row r="2138" spans="3:3" x14ac:dyDescent="0.25">
      <c r="C2138" s="11"/>
    </row>
    <row r="2139" spans="3:3" x14ac:dyDescent="0.25">
      <c r="C2139" s="11"/>
    </row>
    <row r="2140" spans="3:3" x14ac:dyDescent="0.25">
      <c r="C2140" s="11"/>
    </row>
    <row r="2141" spans="3:3" x14ac:dyDescent="0.25">
      <c r="C2141" s="11"/>
    </row>
    <row r="2142" spans="3:3" x14ac:dyDescent="0.25">
      <c r="C2142" s="11"/>
    </row>
    <row r="2143" spans="3:3" x14ac:dyDescent="0.25">
      <c r="C2143" s="11"/>
    </row>
    <row r="2144" spans="3:3" x14ac:dyDescent="0.25">
      <c r="C2144" s="11"/>
    </row>
    <row r="2145" spans="3:3" x14ac:dyDescent="0.25">
      <c r="C2145" s="11"/>
    </row>
    <row r="2146" spans="3:3" x14ac:dyDescent="0.25">
      <c r="C2146" s="11"/>
    </row>
    <row r="2147" spans="3:3" x14ac:dyDescent="0.25">
      <c r="C2147" s="11"/>
    </row>
    <row r="2148" spans="3:3" x14ac:dyDescent="0.25">
      <c r="C2148" s="11"/>
    </row>
    <row r="2149" spans="3:3" x14ac:dyDescent="0.25">
      <c r="C2149" s="11"/>
    </row>
    <row r="2150" spans="3:3" x14ac:dyDescent="0.25">
      <c r="C2150" s="11"/>
    </row>
    <row r="2151" spans="3:3" x14ac:dyDescent="0.25">
      <c r="C2151" s="11"/>
    </row>
    <row r="2152" spans="3:3" x14ac:dyDescent="0.25">
      <c r="C2152" s="11"/>
    </row>
    <row r="2153" spans="3:3" x14ac:dyDescent="0.25">
      <c r="C2153" s="11"/>
    </row>
    <row r="2154" spans="3:3" x14ac:dyDescent="0.25">
      <c r="C2154" s="11"/>
    </row>
    <row r="2155" spans="3:3" x14ac:dyDescent="0.25">
      <c r="C2155" s="11"/>
    </row>
    <row r="2156" spans="3:3" x14ac:dyDescent="0.25">
      <c r="C2156" s="11"/>
    </row>
    <row r="2157" spans="3:3" x14ac:dyDescent="0.25">
      <c r="C2157" s="11"/>
    </row>
    <row r="2158" spans="3:3" x14ac:dyDescent="0.25">
      <c r="C2158" s="11"/>
    </row>
    <row r="2159" spans="3:3" x14ac:dyDescent="0.25">
      <c r="C2159" s="11"/>
    </row>
    <row r="2160" spans="3:3" x14ac:dyDescent="0.25">
      <c r="C2160" s="11"/>
    </row>
    <row r="2161" spans="3:3" x14ac:dyDescent="0.25">
      <c r="C2161" s="11"/>
    </row>
    <row r="2162" spans="3:3" x14ac:dyDescent="0.25">
      <c r="C2162" s="11"/>
    </row>
    <row r="2163" spans="3:3" x14ac:dyDescent="0.25">
      <c r="C2163" s="11"/>
    </row>
    <row r="2164" spans="3:3" x14ac:dyDescent="0.25">
      <c r="C2164" s="11"/>
    </row>
    <row r="2165" spans="3:3" x14ac:dyDescent="0.25">
      <c r="C2165" s="11"/>
    </row>
    <row r="2166" spans="3:3" x14ac:dyDescent="0.25">
      <c r="C2166" s="11"/>
    </row>
    <row r="2167" spans="3:3" x14ac:dyDescent="0.25">
      <c r="C2167" s="11"/>
    </row>
    <row r="2168" spans="3:3" x14ac:dyDescent="0.25">
      <c r="C2168" s="11"/>
    </row>
    <row r="2169" spans="3:3" x14ac:dyDescent="0.25">
      <c r="C2169" s="11"/>
    </row>
    <row r="2170" spans="3:3" x14ac:dyDescent="0.25">
      <c r="C2170" s="11"/>
    </row>
    <row r="2171" spans="3:3" x14ac:dyDescent="0.25">
      <c r="C2171" s="11"/>
    </row>
    <row r="2172" spans="3:3" x14ac:dyDescent="0.25">
      <c r="C2172" s="11"/>
    </row>
    <row r="2173" spans="3:3" x14ac:dyDescent="0.25">
      <c r="C2173" s="11"/>
    </row>
    <row r="2174" spans="3:3" x14ac:dyDescent="0.25">
      <c r="C2174" s="11"/>
    </row>
    <row r="2175" spans="3:3" x14ac:dyDescent="0.25">
      <c r="C2175" s="11"/>
    </row>
    <row r="2176" spans="3:3" x14ac:dyDescent="0.25">
      <c r="C2176" s="11"/>
    </row>
    <row r="2177" spans="3:3" x14ac:dyDescent="0.25">
      <c r="C2177" s="11"/>
    </row>
    <row r="2178" spans="3:3" x14ac:dyDescent="0.25">
      <c r="C2178" s="11"/>
    </row>
    <row r="2179" spans="3:3" x14ac:dyDescent="0.25">
      <c r="C2179" s="11"/>
    </row>
    <row r="2180" spans="3:3" x14ac:dyDescent="0.25">
      <c r="C2180" s="11"/>
    </row>
    <row r="2181" spans="3:3" x14ac:dyDescent="0.25">
      <c r="C2181" s="11"/>
    </row>
    <row r="2182" spans="3:3" x14ac:dyDescent="0.25">
      <c r="C2182" s="11"/>
    </row>
    <row r="2183" spans="3:3" x14ac:dyDescent="0.25">
      <c r="C2183" s="11"/>
    </row>
    <row r="2184" spans="3:3" x14ac:dyDescent="0.25">
      <c r="C2184" s="11"/>
    </row>
    <row r="2185" spans="3:3" x14ac:dyDescent="0.25">
      <c r="C2185" s="11"/>
    </row>
    <row r="2186" spans="3:3" x14ac:dyDescent="0.25">
      <c r="C2186" s="11"/>
    </row>
    <row r="2187" spans="3:3" x14ac:dyDescent="0.25">
      <c r="C2187" s="11"/>
    </row>
    <row r="2188" spans="3:3" x14ac:dyDescent="0.25">
      <c r="C2188" s="11"/>
    </row>
    <row r="2189" spans="3:3" x14ac:dyDescent="0.25">
      <c r="C2189" s="11"/>
    </row>
    <row r="2190" spans="3:3" x14ac:dyDescent="0.25">
      <c r="C2190" s="11"/>
    </row>
    <row r="2191" spans="3:3" x14ac:dyDescent="0.25">
      <c r="C2191" s="11"/>
    </row>
    <row r="2192" spans="3:3" x14ac:dyDescent="0.25">
      <c r="C2192" s="11"/>
    </row>
    <row r="2193" spans="3:3" x14ac:dyDescent="0.25">
      <c r="C2193" s="11"/>
    </row>
    <row r="2194" spans="3:3" x14ac:dyDescent="0.25">
      <c r="C2194" s="11"/>
    </row>
    <row r="2195" spans="3:3" x14ac:dyDescent="0.25">
      <c r="C2195" s="11"/>
    </row>
    <row r="2196" spans="3:3" x14ac:dyDescent="0.25">
      <c r="C2196" s="11"/>
    </row>
    <row r="2197" spans="3:3" x14ac:dyDescent="0.25">
      <c r="C2197" s="11"/>
    </row>
    <row r="2198" spans="3:3" x14ac:dyDescent="0.25">
      <c r="C2198" s="11"/>
    </row>
    <row r="2199" spans="3:3" x14ac:dyDescent="0.25">
      <c r="C2199" s="11"/>
    </row>
    <row r="2200" spans="3:3" x14ac:dyDescent="0.25">
      <c r="C2200" s="11"/>
    </row>
    <row r="2201" spans="3:3" x14ac:dyDescent="0.25">
      <c r="C2201" s="11"/>
    </row>
    <row r="2202" spans="3:3" x14ac:dyDescent="0.25">
      <c r="C2202" s="11"/>
    </row>
    <row r="2203" spans="3:3" x14ac:dyDescent="0.25">
      <c r="C2203" s="11"/>
    </row>
    <row r="2204" spans="3:3" x14ac:dyDescent="0.25">
      <c r="C2204" s="11"/>
    </row>
    <row r="2205" spans="3:3" x14ac:dyDescent="0.25">
      <c r="C2205" s="11"/>
    </row>
    <row r="2206" spans="3:3" x14ac:dyDescent="0.25">
      <c r="C2206" s="11"/>
    </row>
    <row r="2207" spans="3:3" x14ac:dyDescent="0.25">
      <c r="C2207" s="11"/>
    </row>
    <row r="2208" spans="3:3" x14ac:dyDescent="0.25">
      <c r="C2208" s="11"/>
    </row>
    <row r="2209" spans="3:3" x14ac:dyDescent="0.25">
      <c r="C2209" s="11"/>
    </row>
    <row r="2210" spans="3:3" x14ac:dyDescent="0.25">
      <c r="C2210" s="11"/>
    </row>
    <row r="2211" spans="3:3" x14ac:dyDescent="0.25">
      <c r="C2211" s="11"/>
    </row>
    <row r="2212" spans="3:3" x14ac:dyDescent="0.25">
      <c r="C2212" s="11"/>
    </row>
    <row r="2213" spans="3:3" x14ac:dyDescent="0.25">
      <c r="C2213" s="11"/>
    </row>
    <row r="2214" spans="3:3" x14ac:dyDescent="0.25">
      <c r="C2214" s="11"/>
    </row>
    <row r="2215" spans="3:3" x14ac:dyDescent="0.25">
      <c r="C2215" s="11"/>
    </row>
    <row r="2216" spans="3:3" x14ac:dyDescent="0.25">
      <c r="C2216" s="11"/>
    </row>
    <row r="2217" spans="3:3" x14ac:dyDescent="0.25">
      <c r="C2217" s="11"/>
    </row>
    <row r="2218" spans="3:3" x14ac:dyDescent="0.25">
      <c r="C2218" s="11"/>
    </row>
    <row r="2219" spans="3:3" x14ac:dyDescent="0.25">
      <c r="C2219" s="11"/>
    </row>
    <row r="2220" spans="3:3" x14ac:dyDescent="0.25">
      <c r="C2220" s="11"/>
    </row>
    <row r="2221" spans="3:3" x14ac:dyDescent="0.25">
      <c r="C2221" s="11"/>
    </row>
    <row r="2222" spans="3:3" x14ac:dyDescent="0.25">
      <c r="C2222" s="11"/>
    </row>
    <row r="2223" spans="3:3" x14ac:dyDescent="0.25">
      <c r="C2223" s="11"/>
    </row>
    <row r="2224" spans="3:3" x14ac:dyDescent="0.25">
      <c r="C2224" s="11"/>
    </row>
    <row r="2225" spans="3:3" x14ac:dyDescent="0.25">
      <c r="C2225" s="11"/>
    </row>
    <row r="2226" spans="3:3" x14ac:dyDescent="0.25">
      <c r="C2226" s="11"/>
    </row>
    <row r="2227" spans="3:3" x14ac:dyDescent="0.25">
      <c r="C2227" s="11"/>
    </row>
    <row r="2228" spans="3:3" x14ac:dyDescent="0.25">
      <c r="C2228" s="11"/>
    </row>
    <row r="2229" spans="3:3" x14ac:dyDescent="0.25">
      <c r="C2229" s="11"/>
    </row>
    <row r="2230" spans="3:3" x14ac:dyDescent="0.25">
      <c r="C2230" s="11"/>
    </row>
    <row r="2231" spans="3:3" x14ac:dyDescent="0.25">
      <c r="C2231" s="11"/>
    </row>
    <row r="2232" spans="3:3" x14ac:dyDescent="0.25">
      <c r="C2232" s="11"/>
    </row>
    <row r="2233" spans="3:3" x14ac:dyDescent="0.25">
      <c r="C2233" s="11"/>
    </row>
    <row r="2234" spans="3:3" x14ac:dyDescent="0.25">
      <c r="C2234" s="11"/>
    </row>
    <row r="2235" spans="3:3" x14ac:dyDescent="0.25">
      <c r="C2235" s="11"/>
    </row>
    <row r="2236" spans="3:3" x14ac:dyDescent="0.25">
      <c r="C2236" s="11"/>
    </row>
    <row r="2237" spans="3:3" x14ac:dyDescent="0.25">
      <c r="C2237" s="11"/>
    </row>
    <row r="2238" spans="3:3" x14ac:dyDescent="0.25">
      <c r="C2238" s="11"/>
    </row>
    <row r="2239" spans="3:3" x14ac:dyDescent="0.25">
      <c r="C2239" s="11"/>
    </row>
    <row r="2240" spans="3:3" x14ac:dyDescent="0.25">
      <c r="C2240" s="11"/>
    </row>
    <row r="2241" spans="3:3" x14ac:dyDescent="0.25">
      <c r="C2241" s="11"/>
    </row>
    <row r="2242" spans="3:3" x14ac:dyDescent="0.25">
      <c r="C2242" s="11"/>
    </row>
    <row r="2243" spans="3:3" x14ac:dyDescent="0.25">
      <c r="C2243" s="11"/>
    </row>
    <row r="2244" spans="3:3" x14ac:dyDescent="0.25">
      <c r="C2244" s="11"/>
    </row>
    <row r="2245" spans="3:3" x14ac:dyDescent="0.25">
      <c r="C2245" s="11"/>
    </row>
    <row r="2246" spans="3:3" x14ac:dyDescent="0.25">
      <c r="C2246" s="11"/>
    </row>
    <row r="2247" spans="3:3" x14ac:dyDescent="0.25">
      <c r="C2247" s="11"/>
    </row>
    <row r="2248" spans="3:3" x14ac:dyDescent="0.25">
      <c r="C2248" s="11"/>
    </row>
    <row r="2249" spans="3:3" x14ac:dyDescent="0.25">
      <c r="C2249" s="11"/>
    </row>
    <row r="2250" spans="3:3" x14ac:dyDescent="0.25">
      <c r="C2250" s="11"/>
    </row>
    <row r="2251" spans="3:3" x14ac:dyDescent="0.25">
      <c r="C2251" s="11"/>
    </row>
    <row r="2252" spans="3:3" x14ac:dyDescent="0.25">
      <c r="C2252" s="11"/>
    </row>
    <row r="2253" spans="3:3" x14ac:dyDescent="0.25">
      <c r="C2253" s="11"/>
    </row>
    <row r="2254" spans="3:3" x14ac:dyDescent="0.25">
      <c r="C2254" s="11"/>
    </row>
    <row r="2255" spans="3:3" x14ac:dyDescent="0.25">
      <c r="C2255" s="11"/>
    </row>
    <row r="2256" spans="3:3" x14ac:dyDescent="0.25">
      <c r="C2256" s="11"/>
    </row>
    <row r="2257" spans="3:3" x14ac:dyDescent="0.25">
      <c r="C2257" s="11"/>
    </row>
    <row r="2258" spans="3:3" x14ac:dyDescent="0.25">
      <c r="C2258" s="11"/>
    </row>
    <row r="2259" spans="3:3" x14ac:dyDescent="0.25">
      <c r="C2259" s="11"/>
    </row>
    <row r="2260" spans="3:3" x14ac:dyDescent="0.25">
      <c r="C2260" s="11"/>
    </row>
    <row r="2261" spans="3:3" x14ac:dyDescent="0.25">
      <c r="C2261" s="11"/>
    </row>
    <row r="2262" spans="3:3" x14ac:dyDescent="0.25">
      <c r="C2262" s="11"/>
    </row>
    <row r="2263" spans="3:3" x14ac:dyDescent="0.25">
      <c r="C2263" s="11"/>
    </row>
    <row r="2264" spans="3:3" x14ac:dyDescent="0.25">
      <c r="C2264" s="11"/>
    </row>
    <row r="2265" spans="3:3" x14ac:dyDescent="0.25">
      <c r="C2265" s="11"/>
    </row>
    <row r="2266" spans="3:3" x14ac:dyDescent="0.25">
      <c r="C2266" s="11"/>
    </row>
    <row r="2267" spans="3:3" x14ac:dyDescent="0.25">
      <c r="C2267" s="11"/>
    </row>
    <row r="2268" spans="3:3" x14ac:dyDescent="0.25">
      <c r="C2268" s="11"/>
    </row>
    <row r="2269" spans="3:3" x14ac:dyDescent="0.25">
      <c r="C2269" s="11"/>
    </row>
    <row r="2270" spans="3:3" x14ac:dyDescent="0.25">
      <c r="C2270" s="11"/>
    </row>
    <row r="2271" spans="3:3" x14ac:dyDescent="0.25">
      <c r="C2271" s="11"/>
    </row>
    <row r="2272" spans="3:3" x14ac:dyDescent="0.25">
      <c r="C2272" s="11"/>
    </row>
    <row r="2273" spans="3:3" x14ac:dyDescent="0.25">
      <c r="C2273" s="11"/>
    </row>
    <row r="2274" spans="3:3" x14ac:dyDescent="0.25">
      <c r="C2274" s="11"/>
    </row>
    <row r="2275" spans="3:3" x14ac:dyDescent="0.25">
      <c r="C2275" s="11"/>
    </row>
    <row r="2276" spans="3:3" x14ac:dyDescent="0.25">
      <c r="C2276" s="11"/>
    </row>
    <row r="2277" spans="3:3" x14ac:dyDescent="0.25">
      <c r="C2277" s="11"/>
    </row>
    <row r="2278" spans="3:3" x14ac:dyDescent="0.25">
      <c r="C2278" s="11"/>
    </row>
    <row r="2279" spans="3:3" x14ac:dyDescent="0.25">
      <c r="C2279" s="11"/>
    </row>
    <row r="2280" spans="3:3" x14ac:dyDescent="0.25">
      <c r="C2280" s="11"/>
    </row>
    <row r="2281" spans="3:3" x14ac:dyDescent="0.25">
      <c r="C2281" s="11"/>
    </row>
    <row r="2282" spans="3:3" x14ac:dyDescent="0.25">
      <c r="C2282" s="11"/>
    </row>
    <row r="2283" spans="3:3" x14ac:dyDescent="0.25">
      <c r="C2283" s="11"/>
    </row>
    <row r="2284" spans="3:3" x14ac:dyDescent="0.25">
      <c r="C2284" s="11"/>
    </row>
    <row r="2285" spans="3:3" x14ac:dyDescent="0.25">
      <c r="C2285" s="11"/>
    </row>
    <row r="2286" spans="3:3" x14ac:dyDescent="0.25">
      <c r="C2286" s="11"/>
    </row>
    <row r="2287" spans="3:3" x14ac:dyDescent="0.25">
      <c r="C2287" s="11"/>
    </row>
    <row r="2288" spans="3:3" x14ac:dyDescent="0.25">
      <c r="C2288" s="11"/>
    </row>
    <row r="2289" spans="3:3" x14ac:dyDescent="0.25">
      <c r="C2289" s="11"/>
    </row>
    <row r="2290" spans="3:3" x14ac:dyDescent="0.25">
      <c r="C2290" s="11"/>
    </row>
    <row r="2291" spans="3:3" x14ac:dyDescent="0.25">
      <c r="C2291" s="11"/>
    </row>
    <row r="2292" spans="3:3" x14ac:dyDescent="0.25">
      <c r="C2292" s="11"/>
    </row>
    <row r="2293" spans="3:3" x14ac:dyDescent="0.25">
      <c r="C2293" s="11"/>
    </row>
    <row r="2294" spans="3:3" x14ac:dyDescent="0.25">
      <c r="C2294" s="11"/>
    </row>
    <row r="2295" spans="3:3" x14ac:dyDescent="0.25">
      <c r="C2295" s="11"/>
    </row>
    <row r="2296" spans="3:3" x14ac:dyDescent="0.25">
      <c r="C2296" s="11"/>
    </row>
    <row r="2297" spans="3:3" x14ac:dyDescent="0.25">
      <c r="C2297" s="11"/>
    </row>
    <row r="2298" spans="3:3" x14ac:dyDescent="0.25">
      <c r="C2298" s="11"/>
    </row>
    <row r="2299" spans="3:3" x14ac:dyDescent="0.25">
      <c r="C2299" s="11"/>
    </row>
    <row r="2300" spans="3:3" x14ac:dyDescent="0.25">
      <c r="C2300" s="11"/>
    </row>
    <row r="2301" spans="3:3" x14ac:dyDescent="0.25">
      <c r="C2301" s="11"/>
    </row>
    <row r="2302" spans="3:3" x14ac:dyDescent="0.25">
      <c r="C2302" s="11"/>
    </row>
    <row r="2303" spans="3:3" x14ac:dyDescent="0.25">
      <c r="C2303" s="11"/>
    </row>
    <row r="2304" spans="3:3" x14ac:dyDescent="0.25">
      <c r="C2304" s="11"/>
    </row>
    <row r="2305" spans="3:3" x14ac:dyDescent="0.25">
      <c r="C2305" s="11"/>
    </row>
    <row r="2306" spans="3:3" x14ac:dyDescent="0.25">
      <c r="C2306" s="11"/>
    </row>
    <row r="2307" spans="3:3" x14ac:dyDescent="0.25">
      <c r="C2307" s="11"/>
    </row>
    <row r="2308" spans="3:3" x14ac:dyDescent="0.25">
      <c r="C2308" s="11"/>
    </row>
    <row r="2309" spans="3:3" x14ac:dyDescent="0.25">
      <c r="C2309" s="11"/>
    </row>
    <row r="2310" spans="3:3" x14ac:dyDescent="0.25">
      <c r="C2310" s="11"/>
    </row>
    <row r="2311" spans="3:3" x14ac:dyDescent="0.25">
      <c r="C2311" s="11"/>
    </row>
    <row r="2312" spans="3:3" x14ac:dyDescent="0.25">
      <c r="C2312" s="11"/>
    </row>
    <row r="2313" spans="3:3" x14ac:dyDescent="0.25">
      <c r="C2313" s="11"/>
    </row>
    <row r="2314" spans="3:3" x14ac:dyDescent="0.25">
      <c r="C2314" s="11"/>
    </row>
    <row r="2315" spans="3:3" x14ac:dyDescent="0.25">
      <c r="C2315" s="11"/>
    </row>
    <row r="2316" spans="3:3" x14ac:dyDescent="0.25">
      <c r="C2316" s="11"/>
    </row>
    <row r="2317" spans="3:3" x14ac:dyDescent="0.25">
      <c r="C2317" s="11"/>
    </row>
    <row r="2318" spans="3:3" x14ac:dyDescent="0.25">
      <c r="C2318" s="11"/>
    </row>
    <row r="2319" spans="3:3" x14ac:dyDescent="0.25">
      <c r="C2319" s="11"/>
    </row>
    <row r="2320" spans="3:3" x14ac:dyDescent="0.25">
      <c r="C2320" s="11"/>
    </row>
    <row r="2321" spans="3:3" x14ac:dyDescent="0.25">
      <c r="C2321" s="11"/>
    </row>
    <row r="2322" spans="3:3" x14ac:dyDescent="0.25">
      <c r="C2322" s="11"/>
    </row>
    <row r="2323" spans="3:3" x14ac:dyDescent="0.25">
      <c r="C2323" s="11"/>
    </row>
    <row r="2324" spans="3:3" x14ac:dyDescent="0.25">
      <c r="C2324" s="11"/>
    </row>
    <row r="2325" spans="3:3" x14ac:dyDescent="0.25">
      <c r="C2325" s="11"/>
    </row>
    <row r="2326" spans="3:3" x14ac:dyDescent="0.25">
      <c r="C2326" s="11"/>
    </row>
    <row r="2327" spans="3:3" x14ac:dyDescent="0.25">
      <c r="C2327" s="11"/>
    </row>
    <row r="2328" spans="3:3" x14ac:dyDescent="0.25">
      <c r="C2328" s="11"/>
    </row>
    <row r="2329" spans="3:3" x14ac:dyDescent="0.25">
      <c r="C2329" s="11"/>
    </row>
    <row r="2330" spans="3:3" x14ac:dyDescent="0.25">
      <c r="C2330" s="11"/>
    </row>
    <row r="2331" spans="3:3" x14ac:dyDescent="0.25">
      <c r="C2331" s="11"/>
    </row>
    <row r="2332" spans="3:3" x14ac:dyDescent="0.25">
      <c r="C2332" s="11"/>
    </row>
    <row r="2333" spans="3:3" x14ac:dyDescent="0.25">
      <c r="C2333" s="11"/>
    </row>
    <row r="2334" spans="3:3" x14ac:dyDescent="0.25">
      <c r="C2334" s="11"/>
    </row>
    <row r="2335" spans="3:3" x14ac:dyDescent="0.25">
      <c r="C2335" s="11"/>
    </row>
    <row r="2336" spans="3:3" x14ac:dyDescent="0.25">
      <c r="C2336" s="11"/>
    </row>
    <row r="2337" spans="3:3" x14ac:dyDescent="0.25">
      <c r="C2337" s="11"/>
    </row>
    <row r="2338" spans="3:3" x14ac:dyDescent="0.25">
      <c r="C2338" s="11"/>
    </row>
    <row r="2339" spans="3:3" x14ac:dyDescent="0.25">
      <c r="C2339" s="11"/>
    </row>
    <row r="2340" spans="3:3" x14ac:dyDescent="0.25">
      <c r="C2340" s="11"/>
    </row>
    <row r="2341" spans="3:3" x14ac:dyDescent="0.25">
      <c r="C2341" s="11"/>
    </row>
    <row r="2342" spans="3:3" x14ac:dyDescent="0.25">
      <c r="C2342" s="11"/>
    </row>
    <row r="2343" spans="3:3" x14ac:dyDescent="0.25">
      <c r="C2343" s="11"/>
    </row>
    <row r="2344" spans="3:3" x14ac:dyDescent="0.25">
      <c r="C2344" s="11"/>
    </row>
    <row r="2345" spans="3:3" x14ac:dyDescent="0.25">
      <c r="C2345" s="11"/>
    </row>
    <row r="2346" spans="3:3" x14ac:dyDescent="0.25">
      <c r="C2346" s="11"/>
    </row>
    <row r="2347" spans="3:3" x14ac:dyDescent="0.25">
      <c r="C2347" s="11"/>
    </row>
    <row r="2348" spans="3:3" x14ac:dyDescent="0.25">
      <c r="C2348" s="11"/>
    </row>
    <row r="2349" spans="3:3" x14ac:dyDescent="0.25">
      <c r="C2349" s="11"/>
    </row>
    <row r="2350" spans="3:3" x14ac:dyDescent="0.25">
      <c r="C2350" s="11"/>
    </row>
    <row r="2351" spans="3:3" x14ac:dyDescent="0.25">
      <c r="C2351" s="11"/>
    </row>
    <row r="2352" spans="3:3" x14ac:dyDescent="0.25">
      <c r="C2352" s="11"/>
    </row>
    <row r="2353" spans="3:3" x14ac:dyDescent="0.25">
      <c r="C2353" s="11"/>
    </row>
    <row r="2354" spans="3:3" x14ac:dyDescent="0.25">
      <c r="C2354" s="11"/>
    </row>
    <row r="2355" spans="3:3" x14ac:dyDescent="0.25">
      <c r="C2355" s="11"/>
    </row>
    <row r="2356" spans="3:3" x14ac:dyDescent="0.25">
      <c r="C2356" s="11"/>
    </row>
    <row r="2357" spans="3:3" x14ac:dyDescent="0.25">
      <c r="C2357" s="11"/>
    </row>
    <row r="2358" spans="3:3" x14ac:dyDescent="0.25">
      <c r="C2358" s="11"/>
    </row>
    <row r="2359" spans="3:3" x14ac:dyDescent="0.25">
      <c r="C2359" s="11"/>
    </row>
    <row r="2360" spans="3:3" x14ac:dyDescent="0.25">
      <c r="C2360" s="11"/>
    </row>
    <row r="2361" spans="3:3" x14ac:dyDescent="0.25">
      <c r="C2361" s="11"/>
    </row>
    <row r="2362" spans="3:3" x14ac:dyDescent="0.25">
      <c r="C2362" s="11"/>
    </row>
    <row r="2363" spans="3:3" x14ac:dyDescent="0.25">
      <c r="C2363" s="11"/>
    </row>
    <row r="2364" spans="3:3" x14ac:dyDescent="0.25">
      <c r="C2364" s="11"/>
    </row>
    <row r="2365" spans="3:3" x14ac:dyDescent="0.25">
      <c r="C2365" s="11"/>
    </row>
    <row r="2366" spans="3:3" x14ac:dyDescent="0.25">
      <c r="C2366" s="11"/>
    </row>
    <row r="2367" spans="3:3" x14ac:dyDescent="0.25">
      <c r="C2367" s="11"/>
    </row>
    <row r="2368" spans="3:3" x14ac:dyDescent="0.25">
      <c r="C2368" s="11"/>
    </row>
    <row r="2369" spans="3:3" x14ac:dyDescent="0.25">
      <c r="C2369" s="11"/>
    </row>
    <row r="2370" spans="3:3" x14ac:dyDescent="0.25">
      <c r="C2370" s="11"/>
    </row>
    <row r="2371" spans="3:3" x14ac:dyDescent="0.25">
      <c r="C2371" s="11"/>
    </row>
    <row r="2372" spans="3:3" x14ac:dyDescent="0.25">
      <c r="C2372" s="11"/>
    </row>
    <row r="2373" spans="3:3" x14ac:dyDescent="0.25">
      <c r="C2373" s="11"/>
    </row>
    <row r="2374" spans="3:3" x14ac:dyDescent="0.25">
      <c r="C2374" s="11"/>
    </row>
    <row r="2375" spans="3:3" x14ac:dyDescent="0.25">
      <c r="C2375" s="11"/>
    </row>
    <row r="2376" spans="3:3" x14ac:dyDescent="0.25">
      <c r="C2376" s="11"/>
    </row>
    <row r="2377" spans="3:3" x14ac:dyDescent="0.25">
      <c r="C2377" s="11"/>
    </row>
    <row r="2378" spans="3:3" x14ac:dyDescent="0.25">
      <c r="C2378" s="11"/>
    </row>
    <row r="2379" spans="3:3" x14ac:dyDescent="0.25">
      <c r="C2379" s="11"/>
    </row>
    <row r="2380" spans="3:3" x14ac:dyDescent="0.25">
      <c r="C2380" s="11"/>
    </row>
    <row r="2381" spans="3:3" x14ac:dyDescent="0.25">
      <c r="C2381" s="11"/>
    </row>
    <row r="2382" spans="3:3" x14ac:dyDescent="0.25">
      <c r="C2382" s="11"/>
    </row>
    <row r="2383" spans="3:3" x14ac:dyDescent="0.25">
      <c r="C2383" s="11"/>
    </row>
    <row r="2384" spans="3:3" x14ac:dyDescent="0.25">
      <c r="C2384" s="11"/>
    </row>
    <row r="2385" spans="3:3" x14ac:dyDescent="0.25">
      <c r="C2385" s="11"/>
    </row>
    <row r="2386" spans="3:3" x14ac:dyDescent="0.25">
      <c r="C2386" s="11"/>
    </row>
    <row r="2387" spans="3:3" x14ac:dyDescent="0.25">
      <c r="C2387" s="11"/>
    </row>
    <row r="2388" spans="3:3" x14ac:dyDescent="0.25">
      <c r="C2388" s="11"/>
    </row>
    <row r="2389" spans="3:3" x14ac:dyDescent="0.25">
      <c r="C2389" s="11"/>
    </row>
    <row r="2390" spans="3:3" x14ac:dyDescent="0.25">
      <c r="C2390" s="11"/>
    </row>
    <row r="2391" spans="3:3" x14ac:dyDescent="0.25">
      <c r="C2391" s="11"/>
    </row>
    <row r="2392" spans="3:3" x14ac:dyDescent="0.25">
      <c r="C2392" s="11"/>
    </row>
    <row r="2393" spans="3:3" x14ac:dyDescent="0.25">
      <c r="C2393" s="11"/>
    </row>
    <row r="2394" spans="3:3" x14ac:dyDescent="0.25">
      <c r="C2394" s="11"/>
    </row>
    <row r="2395" spans="3:3" x14ac:dyDescent="0.25">
      <c r="C2395" s="11"/>
    </row>
    <row r="2396" spans="3:3" x14ac:dyDescent="0.25">
      <c r="C2396" s="11"/>
    </row>
    <row r="2397" spans="3:3" x14ac:dyDescent="0.25">
      <c r="C2397" s="11"/>
    </row>
    <row r="2398" spans="3:3" x14ac:dyDescent="0.25">
      <c r="C2398" s="11"/>
    </row>
    <row r="2399" spans="3:3" x14ac:dyDescent="0.25">
      <c r="C2399" s="11"/>
    </row>
    <row r="2400" spans="3:3" x14ac:dyDescent="0.25">
      <c r="C2400" s="11"/>
    </row>
    <row r="2401" spans="3:3" x14ac:dyDescent="0.25">
      <c r="C2401" s="11"/>
    </row>
    <row r="2402" spans="3:3" x14ac:dyDescent="0.25">
      <c r="C2402" s="11"/>
    </row>
    <row r="2403" spans="3:3" x14ac:dyDescent="0.25">
      <c r="C2403" s="11"/>
    </row>
    <row r="2404" spans="3:3" x14ac:dyDescent="0.25">
      <c r="C2404" s="11"/>
    </row>
    <row r="2405" spans="3:3" x14ac:dyDescent="0.25">
      <c r="C2405" s="11"/>
    </row>
    <row r="2406" spans="3:3" x14ac:dyDescent="0.25">
      <c r="C2406" s="11"/>
    </row>
    <row r="2407" spans="3:3" x14ac:dyDescent="0.25">
      <c r="C2407" s="11"/>
    </row>
    <row r="2408" spans="3:3" x14ac:dyDescent="0.25">
      <c r="C2408" s="11"/>
    </row>
    <row r="2409" spans="3:3" x14ac:dyDescent="0.25">
      <c r="C2409" s="11"/>
    </row>
    <row r="2410" spans="3:3" x14ac:dyDescent="0.25">
      <c r="C2410" s="11"/>
    </row>
    <row r="2411" spans="3:3" x14ac:dyDescent="0.25">
      <c r="C2411" s="11"/>
    </row>
    <row r="2412" spans="3:3" x14ac:dyDescent="0.25">
      <c r="C2412" s="11"/>
    </row>
    <row r="2413" spans="3:3" x14ac:dyDescent="0.25">
      <c r="C2413" s="11"/>
    </row>
    <row r="2414" spans="3:3" x14ac:dyDescent="0.25">
      <c r="C2414" s="11"/>
    </row>
    <row r="2415" spans="3:3" x14ac:dyDescent="0.25">
      <c r="C2415" s="11"/>
    </row>
    <row r="2416" spans="3:3" x14ac:dyDescent="0.25">
      <c r="C2416" s="11"/>
    </row>
    <row r="2417" spans="3:3" x14ac:dyDescent="0.25">
      <c r="C2417" s="11"/>
    </row>
    <row r="2418" spans="3:3" x14ac:dyDescent="0.25">
      <c r="C2418" s="11"/>
    </row>
    <row r="2419" spans="3:3" x14ac:dyDescent="0.25">
      <c r="C2419" s="11"/>
    </row>
    <row r="2420" spans="3:3" x14ac:dyDescent="0.25">
      <c r="C2420" s="11"/>
    </row>
    <row r="2421" spans="3:3" x14ac:dyDescent="0.25">
      <c r="C2421" s="11"/>
    </row>
    <row r="2422" spans="3:3" x14ac:dyDescent="0.25">
      <c r="C2422" s="11"/>
    </row>
    <row r="2423" spans="3:3" x14ac:dyDescent="0.25">
      <c r="C2423" s="11"/>
    </row>
    <row r="2424" spans="3:3" x14ac:dyDescent="0.25">
      <c r="C2424" s="11"/>
    </row>
    <row r="2425" spans="3:3" x14ac:dyDescent="0.25">
      <c r="C2425" s="11"/>
    </row>
    <row r="2426" spans="3:3" x14ac:dyDescent="0.25">
      <c r="C2426" s="11"/>
    </row>
    <row r="2427" spans="3:3" x14ac:dyDescent="0.25">
      <c r="C2427" s="11"/>
    </row>
    <row r="2428" spans="3:3" x14ac:dyDescent="0.25">
      <c r="C2428" s="11"/>
    </row>
    <row r="2429" spans="3:3" x14ac:dyDescent="0.25">
      <c r="C2429" s="11"/>
    </row>
    <row r="2430" spans="3:3" x14ac:dyDescent="0.25">
      <c r="C2430" s="11"/>
    </row>
    <row r="2431" spans="3:3" x14ac:dyDescent="0.25">
      <c r="C2431" s="11"/>
    </row>
    <row r="2432" spans="3:3" x14ac:dyDescent="0.25">
      <c r="C2432" s="11"/>
    </row>
    <row r="2433" spans="3:3" x14ac:dyDescent="0.25">
      <c r="C2433" s="11"/>
    </row>
    <row r="2434" spans="3:3" x14ac:dyDescent="0.25">
      <c r="C2434" s="11"/>
    </row>
    <row r="2435" spans="3:3" x14ac:dyDescent="0.25">
      <c r="C2435" s="11"/>
    </row>
    <row r="2436" spans="3:3" x14ac:dyDescent="0.25">
      <c r="C2436" s="11"/>
    </row>
    <row r="2437" spans="3:3" x14ac:dyDescent="0.25">
      <c r="C2437" s="11"/>
    </row>
    <row r="2438" spans="3:3" x14ac:dyDescent="0.25">
      <c r="C2438" s="11"/>
    </row>
    <row r="2439" spans="3:3" x14ac:dyDescent="0.25">
      <c r="C2439" s="11"/>
    </row>
    <row r="2440" spans="3:3" x14ac:dyDescent="0.25">
      <c r="C2440" s="11"/>
    </row>
    <row r="2441" spans="3:3" x14ac:dyDescent="0.25">
      <c r="C2441" s="11"/>
    </row>
    <row r="2442" spans="3:3" x14ac:dyDescent="0.25">
      <c r="C2442" s="11"/>
    </row>
    <row r="2443" spans="3:3" x14ac:dyDescent="0.25">
      <c r="C2443" s="11"/>
    </row>
    <row r="2444" spans="3:3" x14ac:dyDescent="0.25">
      <c r="C2444" s="11"/>
    </row>
    <row r="2445" spans="3:3" x14ac:dyDescent="0.25">
      <c r="C2445" s="11"/>
    </row>
    <row r="2446" spans="3:3" x14ac:dyDescent="0.25">
      <c r="C2446" s="11"/>
    </row>
    <row r="2447" spans="3:3" x14ac:dyDescent="0.25">
      <c r="C2447" s="11"/>
    </row>
    <row r="2448" spans="3:3" x14ac:dyDescent="0.25">
      <c r="C2448" s="11"/>
    </row>
    <row r="2449" spans="3:3" x14ac:dyDescent="0.25">
      <c r="C2449" s="11"/>
    </row>
    <row r="2450" spans="3:3" x14ac:dyDescent="0.25">
      <c r="C2450" s="11"/>
    </row>
    <row r="2451" spans="3:3" x14ac:dyDescent="0.25">
      <c r="C2451" s="11"/>
    </row>
    <row r="2452" spans="3:3" x14ac:dyDescent="0.25">
      <c r="C2452" s="11"/>
    </row>
    <row r="2453" spans="3:3" x14ac:dyDescent="0.25">
      <c r="C2453" s="11"/>
    </row>
    <row r="2454" spans="3:3" x14ac:dyDescent="0.25">
      <c r="C2454" s="11"/>
    </row>
    <row r="2455" spans="3:3" x14ac:dyDescent="0.25">
      <c r="C2455" s="11"/>
    </row>
    <row r="2456" spans="3:3" x14ac:dyDescent="0.25">
      <c r="C2456" s="11"/>
    </row>
    <row r="2457" spans="3:3" x14ac:dyDescent="0.25">
      <c r="C2457" s="11"/>
    </row>
    <row r="2458" spans="3:3" x14ac:dyDescent="0.25">
      <c r="C2458" s="11"/>
    </row>
    <row r="2459" spans="3:3" x14ac:dyDescent="0.25">
      <c r="C2459" s="11"/>
    </row>
    <row r="2460" spans="3:3" x14ac:dyDescent="0.25">
      <c r="C2460" s="11"/>
    </row>
    <row r="2461" spans="3:3" x14ac:dyDescent="0.25">
      <c r="C2461" s="11"/>
    </row>
    <row r="2462" spans="3:3" x14ac:dyDescent="0.25">
      <c r="C2462" s="11"/>
    </row>
    <row r="2463" spans="3:3" x14ac:dyDescent="0.25">
      <c r="C2463" s="11"/>
    </row>
    <row r="2464" spans="3:3" x14ac:dyDescent="0.25">
      <c r="C2464" s="11"/>
    </row>
    <row r="2465" spans="3:3" x14ac:dyDescent="0.25">
      <c r="C2465" s="11"/>
    </row>
    <row r="2466" spans="3:3" x14ac:dyDescent="0.25">
      <c r="C2466" s="11"/>
    </row>
    <row r="2467" spans="3:3" x14ac:dyDescent="0.25">
      <c r="C2467" s="11"/>
    </row>
    <row r="2468" spans="3:3" x14ac:dyDescent="0.25">
      <c r="C2468" s="11"/>
    </row>
    <row r="2469" spans="3:3" x14ac:dyDescent="0.25">
      <c r="C2469" s="11"/>
    </row>
    <row r="2470" spans="3:3" x14ac:dyDescent="0.25">
      <c r="C2470" s="11"/>
    </row>
    <row r="2471" spans="3:3" x14ac:dyDescent="0.25">
      <c r="C2471" s="11"/>
    </row>
    <row r="2472" spans="3:3" x14ac:dyDescent="0.25">
      <c r="C2472" s="11"/>
    </row>
    <row r="2473" spans="3:3" x14ac:dyDescent="0.25">
      <c r="C2473" s="11"/>
    </row>
    <row r="2474" spans="3:3" x14ac:dyDescent="0.25">
      <c r="C2474" s="11"/>
    </row>
    <row r="2475" spans="3:3" x14ac:dyDescent="0.25">
      <c r="C2475" s="11"/>
    </row>
    <row r="2476" spans="3:3" x14ac:dyDescent="0.25">
      <c r="C2476" s="11"/>
    </row>
    <row r="2477" spans="3:3" x14ac:dyDescent="0.25">
      <c r="C2477" s="11"/>
    </row>
    <row r="2478" spans="3:3" x14ac:dyDescent="0.25">
      <c r="C2478" s="11"/>
    </row>
    <row r="2479" spans="3:3" x14ac:dyDescent="0.25">
      <c r="C2479" s="11"/>
    </row>
    <row r="2480" spans="3:3" x14ac:dyDescent="0.25">
      <c r="C2480" s="11"/>
    </row>
    <row r="2481" spans="3:3" x14ac:dyDescent="0.25">
      <c r="C2481" s="11"/>
    </row>
    <row r="2482" spans="3:3" x14ac:dyDescent="0.25">
      <c r="C2482" s="11"/>
    </row>
    <row r="2483" spans="3:3" x14ac:dyDescent="0.25">
      <c r="C2483" s="11"/>
    </row>
    <row r="2484" spans="3:3" x14ac:dyDescent="0.25">
      <c r="C2484" s="11"/>
    </row>
    <row r="2485" spans="3:3" x14ac:dyDescent="0.25">
      <c r="C2485" s="11"/>
    </row>
    <row r="2486" spans="3:3" x14ac:dyDescent="0.25">
      <c r="C2486" s="11"/>
    </row>
    <row r="2487" spans="3:3" x14ac:dyDescent="0.25">
      <c r="C2487" s="11"/>
    </row>
    <row r="2488" spans="3:3" x14ac:dyDescent="0.25">
      <c r="C2488" s="11"/>
    </row>
    <row r="2489" spans="3:3" x14ac:dyDescent="0.25">
      <c r="C2489" s="11"/>
    </row>
    <row r="2490" spans="3:3" x14ac:dyDescent="0.25">
      <c r="C2490" s="11"/>
    </row>
    <row r="2491" spans="3:3" x14ac:dyDescent="0.25">
      <c r="C2491" s="11"/>
    </row>
    <row r="2492" spans="3:3" x14ac:dyDescent="0.25">
      <c r="C2492" s="11"/>
    </row>
    <row r="2493" spans="3:3" x14ac:dyDescent="0.25">
      <c r="C2493" s="11"/>
    </row>
    <row r="2494" spans="3:3" x14ac:dyDescent="0.25">
      <c r="C2494" s="11"/>
    </row>
    <row r="2495" spans="3:3" x14ac:dyDescent="0.25">
      <c r="C2495" s="11"/>
    </row>
    <row r="2496" spans="3:3" x14ac:dyDescent="0.25">
      <c r="C2496" s="11"/>
    </row>
    <row r="2497" spans="3:3" x14ac:dyDescent="0.25">
      <c r="C2497" s="11"/>
    </row>
    <row r="2498" spans="3:3" x14ac:dyDescent="0.25">
      <c r="C2498" s="11"/>
    </row>
    <row r="2499" spans="3:3" x14ac:dyDescent="0.25">
      <c r="C2499" s="11"/>
    </row>
    <row r="2500" spans="3:3" x14ac:dyDescent="0.25">
      <c r="C2500" s="11"/>
    </row>
    <row r="2501" spans="3:3" x14ac:dyDescent="0.25">
      <c r="C2501" s="11"/>
    </row>
    <row r="2502" spans="3:3" x14ac:dyDescent="0.25">
      <c r="C2502" s="11"/>
    </row>
    <row r="2503" spans="3:3" x14ac:dyDescent="0.25">
      <c r="C2503" s="11"/>
    </row>
    <row r="2504" spans="3:3" x14ac:dyDescent="0.25">
      <c r="C2504" s="11"/>
    </row>
    <row r="2505" spans="3:3" x14ac:dyDescent="0.25">
      <c r="C2505" s="11"/>
    </row>
    <row r="2506" spans="3:3" x14ac:dyDescent="0.25">
      <c r="C2506" s="11"/>
    </row>
    <row r="2507" spans="3:3" x14ac:dyDescent="0.25">
      <c r="C2507" s="11"/>
    </row>
    <row r="2508" spans="3:3" x14ac:dyDescent="0.25">
      <c r="C2508" s="11"/>
    </row>
    <row r="2509" spans="3:3" x14ac:dyDescent="0.25">
      <c r="C2509" s="11"/>
    </row>
    <row r="2510" spans="3:3" x14ac:dyDescent="0.25">
      <c r="C2510" s="11"/>
    </row>
    <row r="2511" spans="3:3" x14ac:dyDescent="0.25">
      <c r="C2511" s="11"/>
    </row>
    <row r="2512" spans="3:3" x14ac:dyDescent="0.25">
      <c r="C2512" s="11"/>
    </row>
    <row r="2513" spans="3:3" x14ac:dyDescent="0.25">
      <c r="C2513" s="11"/>
    </row>
    <row r="2514" spans="3:3" x14ac:dyDescent="0.25">
      <c r="C2514" s="11"/>
    </row>
    <row r="2515" spans="3:3" x14ac:dyDescent="0.25">
      <c r="C2515" s="11"/>
    </row>
    <row r="2516" spans="3:3" x14ac:dyDescent="0.25">
      <c r="C2516" s="11"/>
    </row>
    <row r="2517" spans="3:3" x14ac:dyDescent="0.25">
      <c r="C2517" s="11"/>
    </row>
    <row r="2518" spans="3:3" x14ac:dyDescent="0.25">
      <c r="C2518" s="11"/>
    </row>
    <row r="2519" spans="3:3" x14ac:dyDescent="0.25">
      <c r="C2519" s="11"/>
    </row>
    <row r="2520" spans="3:3" x14ac:dyDescent="0.25">
      <c r="C2520" s="11"/>
    </row>
    <row r="2521" spans="3:3" x14ac:dyDescent="0.25">
      <c r="C2521" s="11"/>
    </row>
    <row r="2522" spans="3:3" x14ac:dyDescent="0.25">
      <c r="C2522" s="11"/>
    </row>
    <row r="2523" spans="3:3" x14ac:dyDescent="0.25">
      <c r="C2523" s="11"/>
    </row>
    <row r="2524" spans="3:3" x14ac:dyDescent="0.25">
      <c r="C2524" s="11"/>
    </row>
    <row r="2525" spans="3:3" x14ac:dyDescent="0.25">
      <c r="C2525" s="11"/>
    </row>
    <row r="2526" spans="3:3" x14ac:dyDescent="0.25">
      <c r="C2526" s="11"/>
    </row>
    <row r="2527" spans="3:3" x14ac:dyDescent="0.25">
      <c r="C2527" s="11"/>
    </row>
    <row r="2528" spans="3:3" x14ac:dyDescent="0.25">
      <c r="C2528" s="11"/>
    </row>
    <row r="2529" spans="3:3" x14ac:dyDescent="0.25">
      <c r="C2529" s="11"/>
    </row>
    <row r="2530" spans="3:3" x14ac:dyDescent="0.25">
      <c r="C2530" s="11"/>
    </row>
    <row r="2531" spans="3:3" x14ac:dyDescent="0.25">
      <c r="C2531" s="11"/>
    </row>
    <row r="2532" spans="3:3" x14ac:dyDescent="0.25">
      <c r="C2532" s="11"/>
    </row>
    <row r="2533" spans="3:3" x14ac:dyDescent="0.25">
      <c r="C2533" s="11"/>
    </row>
    <row r="2534" spans="3:3" x14ac:dyDescent="0.25">
      <c r="C2534" s="11"/>
    </row>
    <row r="2535" spans="3:3" x14ac:dyDescent="0.25">
      <c r="C2535" s="11"/>
    </row>
    <row r="2536" spans="3:3" x14ac:dyDescent="0.25">
      <c r="C2536" s="11"/>
    </row>
    <row r="2537" spans="3:3" x14ac:dyDescent="0.25">
      <c r="C2537" s="11"/>
    </row>
    <row r="2538" spans="3:3" x14ac:dyDescent="0.25">
      <c r="C2538" s="11"/>
    </row>
    <row r="2539" spans="3:3" x14ac:dyDescent="0.25">
      <c r="C2539" s="11"/>
    </row>
    <row r="2540" spans="3:3" x14ac:dyDescent="0.25">
      <c r="C2540" s="11"/>
    </row>
    <row r="2541" spans="3:3" x14ac:dyDescent="0.25">
      <c r="C2541" s="11"/>
    </row>
    <row r="2542" spans="3:3" x14ac:dyDescent="0.25">
      <c r="C2542" s="11"/>
    </row>
    <row r="2543" spans="3:3" x14ac:dyDescent="0.25">
      <c r="C2543" s="11"/>
    </row>
    <row r="2544" spans="3:3" x14ac:dyDescent="0.25">
      <c r="C2544" s="11"/>
    </row>
    <row r="2545" spans="3:3" x14ac:dyDescent="0.25">
      <c r="C2545" s="11"/>
    </row>
    <row r="2546" spans="3:3" x14ac:dyDescent="0.25">
      <c r="C2546" s="11"/>
    </row>
    <row r="2547" spans="3:3" x14ac:dyDescent="0.25">
      <c r="C2547" s="11"/>
    </row>
    <row r="2548" spans="3:3" x14ac:dyDescent="0.25">
      <c r="C2548" s="11"/>
    </row>
    <row r="2549" spans="3:3" x14ac:dyDescent="0.25">
      <c r="C2549" s="11"/>
    </row>
    <row r="2550" spans="3:3" x14ac:dyDescent="0.25">
      <c r="C2550" s="11"/>
    </row>
    <row r="2551" spans="3:3" x14ac:dyDescent="0.25">
      <c r="C2551" s="11"/>
    </row>
    <row r="2552" spans="3:3" x14ac:dyDescent="0.25">
      <c r="C2552" s="11"/>
    </row>
    <row r="2553" spans="3:3" x14ac:dyDescent="0.25">
      <c r="C2553" s="11"/>
    </row>
    <row r="2554" spans="3:3" x14ac:dyDescent="0.25">
      <c r="C2554" s="11"/>
    </row>
    <row r="2555" spans="3:3" x14ac:dyDescent="0.25">
      <c r="C2555" s="11"/>
    </row>
    <row r="2556" spans="3:3" x14ac:dyDescent="0.25">
      <c r="C2556" s="11"/>
    </row>
    <row r="2557" spans="3:3" x14ac:dyDescent="0.25">
      <c r="C2557" s="11"/>
    </row>
    <row r="2558" spans="3:3" x14ac:dyDescent="0.25">
      <c r="C2558" s="11"/>
    </row>
    <row r="2559" spans="3:3" x14ac:dyDescent="0.25">
      <c r="C2559" s="11"/>
    </row>
    <row r="2560" spans="3:3" x14ac:dyDescent="0.25">
      <c r="C2560" s="11"/>
    </row>
    <row r="2561" spans="3:3" x14ac:dyDescent="0.25">
      <c r="C2561" s="11"/>
    </row>
    <row r="2562" spans="3:3" x14ac:dyDescent="0.25">
      <c r="C2562" s="11"/>
    </row>
    <row r="2563" spans="3:3" x14ac:dyDescent="0.25">
      <c r="C2563" s="11"/>
    </row>
    <row r="2564" spans="3:3" x14ac:dyDescent="0.25">
      <c r="C2564" s="11"/>
    </row>
    <row r="2565" spans="3:3" x14ac:dyDescent="0.25">
      <c r="C2565" s="11"/>
    </row>
    <row r="2566" spans="3:3" x14ac:dyDescent="0.25">
      <c r="C2566" s="11"/>
    </row>
    <row r="2567" spans="3:3" x14ac:dyDescent="0.25">
      <c r="C2567" s="11"/>
    </row>
    <row r="2568" spans="3:3" x14ac:dyDescent="0.25">
      <c r="C2568" s="11"/>
    </row>
    <row r="2569" spans="3:3" x14ac:dyDescent="0.25">
      <c r="C2569" s="11"/>
    </row>
    <row r="2570" spans="3:3" x14ac:dyDescent="0.25">
      <c r="C2570" s="11"/>
    </row>
    <row r="2571" spans="3:3" x14ac:dyDescent="0.25">
      <c r="C2571" s="11"/>
    </row>
    <row r="2572" spans="3:3" x14ac:dyDescent="0.25">
      <c r="C2572" s="11"/>
    </row>
    <row r="2573" spans="3:3" x14ac:dyDescent="0.25">
      <c r="C2573" s="11"/>
    </row>
    <row r="2574" spans="3:3" x14ac:dyDescent="0.25">
      <c r="C2574" s="11"/>
    </row>
    <row r="2575" spans="3:3" x14ac:dyDescent="0.25">
      <c r="C2575" s="11"/>
    </row>
    <row r="2576" spans="3:3" x14ac:dyDescent="0.25">
      <c r="C2576" s="11"/>
    </row>
    <row r="2577" spans="3:3" x14ac:dyDescent="0.25">
      <c r="C2577" s="11"/>
    </row>
    <row r="2578" spans="3:3" x14ac:dyDescent="0.25">
      <c r="C2578" s="11"/>
    </row>
    <row r="2579" spans="3:3" x14ac:dyDescent="0.25">
      <c r="C2579" s="11"/>
    </row>
    <row r="2580" spans="3:3" x14ac:dyDescent="0.25">
      <c r="C2580" s="11"/>
    </row>
    <row r="2581" spans="3:3" x14ac:dyDescent="0.25">
      <c r="C2581" s="11"/>
    </row>
    <row r="2582" spans="3:3" x14ac:dyDescent="0.25">
      <c r="C2582" s="11"/>
    </row>
    <row r="2583" spans="3:3" x14ac:dyDescent="0.25">
      <c r="C2583" s="11"/>
    </row>
    <row r="2584" spans="3:3" x14ac:dyDescent="0.25">
      <c r="C2584" s="11"/>
    </row>
    <row r="2585" spans="3:3" x14ac:dyDescent="0.25">
      <c r="C2585" s="11"/>
    </row>
    <row r="2586" spans="3:3" x14ac:dyDescent="0.25">
      <c r="C2586" s="11"/>
    </row>
    <row r="2587" spans="3:3" x14ac:dyDescent="0.25">
      <c r="C2587" s="11"/>
    </row>
    <row r="2588" spans="3:3" x14ac:dyDescent="0.25">
      <c r="C2588" s="11"/>
    </row>
    <row r="2589" spans="3:3" x14ac:dyDescent="0.25">
      <c r="C2589" s="11"/>
    </row>
    <row r="2590" spans="3:3" x14ac:dyDescent="0.25">
      <c r="C2590" s="11"/>
    </row>
    <row r="2591" spans="3:3" x14ac:dyDescent="0.25">
      <c r="C2591" s="11"/>
    </row>
    <row r="2592" spans="3:3" x14ac:dyDescent="0.25">
      <c r="C2592" s="11"/>
    </row>
    <row r="2593" spans="3:3" x14ac:dyDescent="0.25">
      <c r="C2593" s="11"/>
    </row>
    <row r="2594" spans="3:3" x14ac:dyDescent="0.25">
      <c r="C2594" s="11"/>
    </row>
    <row r="2595" spans="3:3" x14ac:dyDescent="0.25">
      <c r="C2595" s="11"/>
    </row>
    <row r="2596" spans="3:3" x14ac:dyDescent="0.25">
      <c r="C2596" s="11"/>
    </row>
    <row r="2597" spans="3:3" x14ac:dyDescent="0.25">
      <c r="C2597" s="11"/>
    </row>
    <row r="2598" spans="3:3" x14ac:dyDescent="0.25">
      <c r="C2598" s="11"/>
    </row>
    <row r="2599" spans="3:3" x14ac:dyDescent="0.25">
      <c r="C2599" s="11"/>
    </row>
    <row r="2600" spans="3:3" x14ac:dyDescent="0.25">
      <c r="C2600" s="11"/>
    </row>
    <row r="2601" spans="3:3" x14ac:dyDescent="0.25">
      <c r="C2601" s="11"/>
    </row>
    <row r="2602" spans="3:3" x14ac:dyDescent="0.25">
      <c r="C2602" s="11"/>
    </row>
    <row r="2603" spans="3:3" x14ac:dyDescent="0.25">
      <c r="C2603" s="11"/>
    </row>
    <row r="2604" spans="3:3" x14ac:dyDescent="0.25">
      <c r="C2604" s="11"/>
    </row>
    <row r="2605" spans="3:3" x14ac:dyDescent="0.25">
      <c r="C2605" s="11"/>
    </row>
    <row r="2606" spans="3:3" x14ac:dyDescent="0.25">
      <c r="C2606" s="11"/>
    </row>
    <row r="2607" spans="3:3" x14ac:dyDescent="0.25">
      <c r="C2607" s="11"/>
    </row>
    <row r="2608" spans="3:3" x14ac:dyDescent="0.25">
      <c r="C2608" s="11"/>
    </row>
    <row r="2609" spans="3:3" x14ac:dyDescent="0.25">
      <c r="C2609" s="11"/>
    </row>
    <row r="2610" spans="3:3" x14ac:dyDescent="0.25">
      <c r="C2610" s="11"/>
    </row>
    <row r="2611" spans="3:3" x14ac:dyDescent="0.25">
      <c r="C2611" s="11"/>
    </row>
    <row r="2612" spans="3:3" x14ac:dyDescent="0.25">
      <c r="C2612" s="11"/>
    </row>
    <row r="2613" spans="3:3" x14ac:dyDescent="0.25">
      <c r="C2613" s="11"/>
    </row>
    <row r="2614" spans="3:3" x14ac:dyDescent="0.25">
      <c r="C2614" s="11"/>
    </row>
    <row r="2615" spans="3:3" x14ac:dyDescent="0.25">
      <c r="C2615" s="11"/>
    </row>
    <row r="2616" spans="3:3" x14ac:dyDescent="0.25">
      <c r="C2616" s="11"/>
    </row>
    <row r="2617" spans="3:3" x14ac:dyDescent="0.25">
      <c r="C2617" s="11"/>
    </row>
    <row r="2618" spans="3:3" x14ac:dyDescent="0.25">
      <c r="C2618" s="11"/>
    </row>
    <row r="2619" spans="3:3" x14ac:dyDescent="0.25">
      <c r="C2619" s="11"/>
    </row>
    <row r="2620" spans="3:3" x14ac:dyDescent="0.25">
      <c r="C2620" s="11"/>
    </row>
    <row r="2621" spans="3:3" x14ac:dyDescent="0.25">
      <c r="C2621" s="11"/>
    </row>
    <row r="2622" spans="3:3" x14ac:dyDescent="0.25">
      <c r="C2622" s="11"/>
    </row>
    <row r="2623" spans="3:3" x14ac:dyDescent="0.25">
      <c r="C2623" s="11"/>
    </row>
    <row r="2624" spans="3:3" x14ac:dyDescent="0.25">
      <c r="C2624" s="11"/>
    </row>
    <row r="2625" spans="3:3" x14ac:dyDescent="0.25">
      <c r="C2625" s="11"/>
    </row>
    <row r="2626" spans="3:3" x14ac:dyDescent="0.25">
      <c r="C2626" s="11"/>
    </row>
    <row r="2627" spans="3:3" x14ac:dyDescent="0.25">
      <c r="C2627" s="11"/>
    </row>
    <row r="2628" spans="3:3" x14ac:dyDescent="0.25">
      <c r="C2628" s="11"/>
    </row>
    <row r="2629" spans="3:3" x14ac:dyDescent="0.25">
      <c r="C2629" s="11"/>
    </row>
    <row r="2630" spans="3:3" x14ac:dyDescent="0.25">
      <c r="C2630" s="11"/>
    </row>
    <row r="2631" spans="3:3" x14ac:dyDescent="0.25">
      <c r="C2631" s="11"/>
    </row>
    <row r="2632" spans="3:3" x14ac:dyDescent="0.25">
      <c r="C2632" s="11"/>
    </row>
    <row r="2633" spans="3:3" x14ac:dyDescent="0.25">
      <c r="C2633" s="11"/>
    </row>
    <row r="2634" spans="3:3" x14ac:dyDescent="0.25">
      <c r="C2634" s="11"/>
    </row>
    <row r="2635" spans="3:3" x14ac:dyDescent="0.25">
      <c r="C2635" s="11"/>
    </row>
    <row r="2636" spans="3:3" x14ac:dyDescent="0.25">
      <c r="C2636" s="11"/>
    </row>
    <row r="2637" spans="3:3" x14ac:dyDescent="0.25">
      <c r="C2637" s="11"/>
    </row>
    <row r="2638" spans="3:3" x14ac:dyDescent="0.25">
      <c r="C2638" s="11"/>
    </row>
    <row r="2639" spans="3:3" x14ac:dyDescent="0.25">
      <c r="C2639" s="11"/>
    </row>
    <row r="2640" spans="3:3" x14ac:dyDescent="0.25">
      <c r="C2640" s="11"/>
    </row>
    <row r="2641" spans="3:3" x14ac:dyDescent="0.25">
      <c r="C2641" s="11"/>
    </row>
    <row r="2642" spans="3:3" x14ac:dyDescent="0.25">
      <c r="C2642" s="11"/>
    </row>
    <row r="2643" spans="3:3" x14ac:dyDescent="0.25">
      <c r="C2643" s="11"/>
    </row>
    <row r="2644" spans="3:3" x14ac:dyDescent="0.25">
      <c r="C2644" s="11"/>
    </row>
    <row r="2645" spans="3:3" x14ac:dyDescent="0.25">
      <c r="C2645" s="11"/>
    </row>
    <row r="2646" spans="3:3" x14ac:dyDescent="0.25">
      <c r="C2646" s="11"/>
    </row>
    <row r="2647" spans="3:3" x14ac:dyDescent="0.25">
      <c r="C2647" s="11"/>
    </row>
    <row r="2648" spans="3:3" x14ac:dyDescent="0.25">
      <c r="C2648" s="11"/>
    </row>
    <row r="2649" spans="3:3" x14ac:dyDescent="0.25">
      <c r="C2649" s="11"/>
    </row>
    <row r="2650" spans="3:3" x14ac:dyDescent="0.25">
      <c r="C2650" s="11"/>
    </row>
    <row r="2651" spans="3:3" x14ac:dyDescent="0.25">
      <c r="C2651" s="11"/>
    </row>
    <row r="2652" spans="3:3" x14ac:dyDescent="0.25">
      <c r="C2652" s="11"/>
    </row>
    <row r="2653" spans="3:3" x14ac:dyDescent="0.25">
      <c r="C2653" s="11"/>
    </row>
    <row r="2654" spans="3:3" x14ac:dyDescent="0.25">
      <c r="C2654" s="11"/>
    </row>
    <row r="2655" spans="3:3" x14ac:dyDescent="0.25">
      <c r="C2655" s="11"/>
    </row>
    <row r="2656" spans="3:3" x14ac:dyDescent="0.25">
      <c r="C2656" s="11"/>
    </row>
    <row r="2657" spans="3:3" x14ac:dyDescent="0.25">
      <c r="C2657" s="11"/>
    </row>
    <row r="2658" spans="3:3" x14ac:dyDescent="0.25">
      <c r="C2658" s="11"/>
    </row>
    <row r="2659" spans="3:3" x14ac:dyDescent="0.25">
      <c r="C2659" s="11"/>
    </row>
    <row r="2660" spans="3:3" x14ac:dyDescent="0.25">
      <c r="C2660" s="11"/>
    </row>
    <row r="2661" spans="3:3" x14ac:dyDescent="0.25">
      <c r="C2661" s="11"/>
    </row>
    <row r="2662" spans="3:3" x14ac:dyDescent="0.25">
      <c r="C2662" s="11"/>
    </row>
    <row r="2663" spans="3:3" x14ac:dyDescent="0.25">
      <c r="C2663" s="11"/>
    </row>
    <row r="2664" spans="3:3" x14ac:dyDescent="0.25">
      <c r="C2664" s="11"/>
    </row>
    <row r="2665" spans="3:3" x14ac:dyDescent="0.25">
      <c r="C2665" s="11"/>
    </row>
    <row r="2666" spans="3:3" x14ac:dyDescent="0.25">
      <c r="C2666" s="11"/>
    </row>
    <row r="2667" spans="3:3" x14ac:dyDescent="0.25">
      <c r="C2667" s="11"/>
    </row>
    <row r="2668" spans="3:3" x14ac:dyDescent="0.25">
      <c r="C2668" s="11"/>
    </row>
    <row r="2669" spans="3:3" x14ac:dyDescent="0.25">
      <c r="C2669" s="11"/>
    </row>
    <row r="2670" spans="3:3" x14ac:dyDescent="0.25">
      <c r="C2670" s="11"/>
    </row>
    <row r="2671" spans="3:3" x14ac:dyDescent="0.25">
      <c r="C2671" s="11"/>
    </row>
    <row r="2672" spans="3:3" x14ac:dyDescent="0.25">
      <c r="C2672" s="11"/>
    </row>
    <row r="2673" spans="3:3" x14ac:dyDescent="0.25">
      <c r="C2673" s="11"/>
    </row>
    <row r="2674" spans="3:3" x14ac:dyDescent="0.25">
      <c r="C2674" s="11"/>
    </row>
    <row r="2675" spans="3:3" x14ac:dyDescent="0.25">
      <c r="C2675" s="11"/>
    </row>
    <row r="2676" spans="3:3" x14ac:dyDescent="0.25">
      <c r="C2676" s="11"/>
    </row>
    <row r="2677" spans="3:3" x14ac:dyDescent="0.25">
      <c r="C2677" s="11"/>
    </row>
    <row r="2678" spans="3:3" x14ac:dyDescent="0.25">
      <c r="C2678" s="11"/>
    </row>
    <row r="2679" spans="3:3" x14ac:dyDescent="0.25">
      <c r="C2679" s="11"/>
    </row>
    <row r="2680" spans="3:3" x14ac:dyDescent="0.25">
      <c r="C2680" s="11"/>
    </row>
    <row r="2681" spans="3:3" x14ac:dyDescent="0.25">
      <c r="C2681" s="11"/>
    </row>
    <row r="2682" spans="3:3" x14ac:dyDescent="0.25">
      <c r="C2682" s="11"/>
    </row>
    <row r="2683" spans="3:3" x14ac:dyDescent="0.25">
      <c r="C2683" s="11"/>
    </row>
    <row r="2684" spans="3:3" x14ac:dyDescent="0.25">
      <c r="C2684" s="11"/>
    </row>
    <row r="2685" spans="3:3" x14ac:dyDescent="0.25">
      <c r="C2685" s="11"/>
    </row>
    <row r="2686" spans="3:3" x14ac:dyDescent="0.25">
      <c r="C2686" s="11"/>
    </row>
    <row r="2687" spans="3:3" x14ac:dyDescent="0.25">
      <c r="C2687" s="11"/>
    </row>
    <row r="2688" spans="3:3" x14ac:dyDescent="0.25">
      <c r="C2688" s="11"/>
    </row>
    <row r="2689" spans="3:3" x14ac:dyDescent="0.25">
      <c r="C2689" s="11"/>
    </row>
    <row r="2690" spans="3:3" x14ac:dyDescent="0.25">
      <c r="C2690" s="11"/>
    </row>
    <row r="2691" spans="3:3" x14ac:dyDescent="0.25">
      <c r="C2691" s="11"/>
    </row>
    <row r="2692" spans="3:3" x14ac:dyDescent="0.25">
      <c r="C2692" s="11"/>
    </row>
    <row r="2693" spans="3:3" x14ac:dyDescent="0.25">
      <c r="C2693" s="11"/>
    </row>
    <row r="2694" spans="3:3" x14ac:dyDescent="0.25">
      <c r="C2694" s="11"/>
    </row>
    <row r="2695" spans="3:3" x14ac:dyDescent="0.25">
      <c r="C2695" s="11"/>
    </row>
    <row r="2696" spans="3:3" x14ac:dyDescent="0.25">
      <c r="C2696" s="11"/>
    </row>
    <row r="2697" spans="3:3" x14ac:dyDescent="0.25">
      <c r="C2697" s="11"/>
    </row>
    <row r="2698" spans="3:3" x14ac:dyDescent="0.25">
      <c r="C2698" s="11"/>
    </row>
    <row r="2699" spans="3:3" x14ac:dyDescent="0.25">
      <c r="C2699" s="11"/>
    </row>
    <row r="2700" spans="3:3" x14ac:dyDescent="0.25">
      <c r="C2700" s="11"/>
    </row>
    <row r="2701" spans="3:3" x14ac:dyDescent="0.25">
      <c r="C2701" s="11"/>
    </row>
    <row r="2702" spans="3:3" x14ac:dyDescent="0.25">
      <c r="C2702" s="11"/>
    </row>
    <row r="2703" spans="3:3" x14ac:dyDescent="0.25">
      <c r="C2703" s="11"/>
    </row>
    <row r="2704" spans="3:3" x14ac:dyDescent="0.25">
      <c r="C2704" s="11"/>
    </row>
    <row r="2705" spans="3:3" x14ac:dyDescent="0.25">
      <c r="C2705" s="11"/>
    </row>
    <row r="2706" spans="3:3" x14ac:dyDescent="0.25">
      <c r="C2706" s="11"/>
    </row>
    <row r="2707" spans="3:3" x14ac:dyDescent="0.25">
      <c r="C2707" s="11"/>
    </row>
    <row r="2708" spans="3:3" x14ac:dyDescent="0.25">
      <c r="C2708" s="11"/>
    </row>
    <row r="2709" spans="3:3" x14ac:dyDescent="0.25">
      <c r="C2709" s="11"/>
    </row>
    <row r="2710" spans="3:3" x14ac:dyDescent="0.25">
      <c r="C2710" s="11"/>
    </row>
    <row r="2711" spans="3:3" x14ac:dyDescent="0.25">
      <c r="C2711" s="11"/>
    </row>
    <row r="2712" spans="3:3" x14ac:dyDescent="0.25">
      <c r="C2712" s="11"/>
    </row>
    <row r="2713" spans="3:3" x14ac:dyDescent="0.25">
      <c r="C2713" s="11"/>
    </row>
    <row r="2714" spans="3:3" x14ac:dyDescent="0.25">
      <c r="C2714" s="11"/>
    </row>
    <row r="2715" spans="3:3" x14ac:dyDescent="0.25">
      <c r="C2715" s="11"/>
    </row>
    <row r="2716" spans="3:3" x14ac:dyDescent="0.25">
      <c r="C2716" s="11"/>
    </row>
    <row r="2717" spans="3:3" x14ac:dyDescent="0.25">
      <c r="C2717" s="11"/>
    </row>
    <row r="2718" spans="3:3" x14ac:dyDescent="0.25">
      <c r="C2718" s="11"/>
    </row>
    <row r="2719" spans="3:3" x14ac:dyDescent="0.25">
      <c r="C2719" s="11"/>
    </row>
    <row r="2720" spans="3:3" x14ac:dyDescent="0.25">
      <c r="C2720" s="11"/>
    </row>
    <row r="2721" spans="3:3" x14ac:dyDescent="0.25">
      <c r="C2721" s="11"/>
    </row>
    <row r="2722" spans="3:3" x14ac:dyDescent="0.25">
      <c r="C2722" s="11"/>
    </row>
    <row r="2723" spans="3:3" x14ac:dyDescent="0.25">
      <c r="C2723" s="11"/>
    </row>
    <row r="2724" spans="3:3" x14ac:dyDescent="0.25">
      <c r="C2724" s="11"/>
    </row>
    <row r="2725" spans="3:3" x14ac:dyDescent="0.25">
      <c r="C2725" s="11"/>
    </row>
    <row r="2726" spans="3:3" x14ac:dyDescent="0.25">
      <c r="C2726" s="11"/>
    </row>
    <row r="2727" spans="3:3" x14ac:dyDescent="0.25">
      <c r="C2727" s="11"/>
    </row>
    <row r="2728" spans="3:3" x14ac:dyDescent="0.25">
      <c r="C2728" s="11"/>
    </row>
    <row r="2729" spans="3:3" x14ac:dyDescent="0.25">
      <c r="C2729" s="11"/>
    </row>
    <row r="2730" spans="3:3" x14ac:dyDescent="0.25">
      <c r="C2730" s="11"/>
    </row>
    <row r="2731" spans="3:3" x14ac:dyDescent="0.25">
      <c r="C2731" s="11"/>
    </row>
    <row r="2732" spans="3:3" x14ac:dyDescent="0.25">
      <c r="C2732" s="11"/>
    </row>
    <row r="2733" spans="3:3" x14ac:dyDescent="0.25">
      <c r="C2733" s="11"/>
    </row>
    <row r="2734" spans="3:3" x14ac:dyDescent="0.25">
      <c r="C2734" s="11"/>
    </row>
    <row r="2735" spans="3:3" x14ac:dyDescent="0.25">
      <c r="C2735" s="11"/>
    </row>
    <row r="2736" spans="3:3" x14ac:dyDescent="0.25">
      <c r="C2736" s="11"/>
    </row>
    <row r="2737" spans="3:3" x14ac:dyDescent="0.25">
      <c r="C2737" s="11"/>
    </row>
    <row r="2738" spans="3:3" x14ac:dyDescent="0.25">
      <c r="C2738" s="11"/>
    </row>
    <row r="2739" spans="3:3" x14ac:dyDescent="0.25">
      <c r="C2739" s="11"/>
    </row>
    <row r="2740" spans="3:3" x14ac:dyDescent="0.25">
      <c r="C2740" s="11"/>
    </row>
    <row r="2741" spans="3:3" x14ac:dyDescent="0.25">
      <c r="C2741" s="11"/>
    </row>
    <row r="2742" spans="3:3" x14ac:dyDescent="0.25">
      <c r="C2742" s="11"/>
    </row>
    <row r="2743" spans="3:3" x14ac:dyDescent="0.25">
      <c r="C2743" s="11"/>
    </row>
    <row r="2744" spans="3:3" x14ac:dyDescent="0.25">
      <c r="C2744" s="11"/>
    </row>
    <row r="2745" spans="3:3" x14ac:dyDescent="0.25">
      <c r="C2745" s="11"/>
    </row>
    <row r="2746" spans="3:3" x14ac:dyDescent="0.25">
      <c r="C2746" s="11"/>
    </row>
    <row r="2747" spans="3:3" x14ac:dyDescent="0.25">
      <c r="C2747" s="11"/>
    </row>
    <row r="2748" spans="3:3" x14ac:dyDescent="0.25">
      <c r="C2748" s="11"/>
    </row>
    <row r="2749" spans="3:3" x14ac:dyDescent="0.25">
      <c r="C2749" s="11"/>
    </row>
    <row r="2750" spans="3:3" x14ac:dyDescent="0.25">
      <c r="C2750" s="11"/>
    </row>
    <row r="2751" spans="3:3" x14ac:dyDescent="0.25">
      <c r="C2751" s="11"/>
    </row>
    <row r="2752" spans="3:3" x14ac:dyDescent="0.25">
      <c r="C2752" s="11"/>
    </row>
    <row r="2753" spans="3:3" x14ac:dyDescent="0.25">
      <c r="C2753" s="11"/>
    </row>
    <row r="2754" spans="3:3" x14ac:dyDescent="0.25">
      <c r="C2754" s="11"/>
    </row>
    <row r="2755" spans="3:3" x14ac:dyDescent="0.25">
      <c r="C2755" s="11"/>
    </row>
    <row r="2756" spans="3:3" x14ac:dyDescent="0.25">
      <c r="C2756" s="11"/>
    </row>
    <row r="2757" spans="3:3" x14ac:dyDescent="0.25">
      <c r="C2757" s="11"/>
    </row>
    <row r="2758" spans="3:3" x14ac:dyDescent="0.25">
      <c r="C2758" s="11"/>
    </row>
    <row r="2759" spans="3:3" x14ac:dyDescent="0.25">
      <c r="C2759" s="11"/>
    </row>
    <row r="2760" spans="3:3" x14ac:dyDescent="0.25">
      <c r="C2760" s="11"/>
    </row>
    <row r="2761" spans="3:3" x14ac:dyDescent="0.25">
      <c r="C2761" s="11"/>
    </row>
    <row r="2762" spans="3:3" x14ac:dyDescent="0.25">
      <c r="C2762" s="11"/>
    </row>
    <row r="2763" spans="3:3" x14ac:dyDescent="0.25">
      <c r="C2763" s="11"/>
    </row>
    <row r="2764" spans="3:3" x14ac:dyDescent="0.25">
      <c r="C2764" s="11"/>
    </row>
    <row r="2765" spans="3:3" x14ac:dyDescent="0.25">
      <c r="C2765" s="11"/>
    </row>
    <row r="2766" spans="3:3" x14ac:dyDescent="0.25">
      <c r="C2766" s="11"/>
    </row>
    <row r="2767" spans="3:3" x14ac:dyDescent="0.25">
      <c r="C2767" s="11"/>
    </row>
    <row r="2768" spans="3:3" x14ac:dyDescent="0.25">
      <c r="C2768" s="11"/>
    </row>
    <row r="2769" spans="3:3" x14ac:dyDescent="0.25">
      <c r="C2769" s="11"/>
    </row>
    <row r="2770" spans="3:3" x14ac:dyDescent="0.25">
      <c r="C2770" s="11"/>
    </row>
    <row r="2771" spans="3:3" x14ac:dyDescent="0.25">
      <c r="C2771" s="11"/>
    </row>
    <row r="2772" spans="3:3" x14ac:dyDescent="0.25">
      <c r="C2772" s="11"/>
    </row>
    <row r="2773" spans="3:3" x14ac:dyDescent="0.25">
      <c r="C2773" s="11"/>
    </row>
    <row r="2774" spans="3:3" x14ac:dyDescent="0.25">
      <c r="C2774" s="11"/>
    </row>
    <row r="2775" spans="3:3" x14ac:dyDescent="0.25">
      <c r="C2775" s="11"/>
    </row>
    <row r="2776" spans="3:3" x14ac:dyDescent="0.25">
      <c r="C2776" s="11"/>
    </row>
    <row r="2777" spans="3:3" x14ac:dyDescent="0.25">
      <c r="C2777" s="11"/>
    </row>
    <row r="2778" spans="3:3" x14ac:dyDescent="0.25">
      <c r="C2778" s="11"/>
    </row>
    <row r="2779" spans="3:3" x14ac:dyDescent="0.25">
      <c r="C2779" s="11"/>
    </row>
    <row r="2780" spans="3:3" x14ac:dyDescent="0.25">
      <c r="C2780" s="11"/>
    </row>
    <row r="2781" spans="3:3" x14ac:dyDescent="0.25">
      <c r="C2781" s="11"/>
    </row>
    <row r="2782" spans="3:3" x14ac:dyDescent="0.25">
      <c r="C2782" s="11"/>
    </row>
    <row r="2783" spans="3:3" x14ac:dyDescent="0.25">
      <c r="C2783" s="11"/>
    </row>
    <row r="2784" spans="3:3" x14ac:dyDescent="0.25">
      <c r="C2784" s="11"/>
    </row>
    <row r="2785" spans="3:3" x14ac:dyDescent="0.25">
      <c r="C2785" s="11"/>
    </row>
    <row r="2786" spans="3:3" x14ac:dyDescent="0.25">
      <c r="C2786" s="11"/>
    </row>
    <row r="2787" spans="3:3" x14ac:dyDescent="0.25">
      <c r="C2787" s="11"/>
    </row>
    <row r="2788" spans="3:3" x14ac:dyDescent="0.25">
      <c r="C2788" s="11"/>
    </row>
    <row r="2789" spans="3:3" x14ac:dyDescent="0.25">
      <c r="C2789" s="11"/>
    </row>
    <row r="2790" spans="3:3" x14ac:dyDescent="0.25">
      <c r="C2790" s="11"/>
    </row>
    <row r="2791" spans="3:3" x14ac:dyDescent="0.25">
      <c r="C2791" s="11"/>
    </row>
    <row r="2792" spans="3:3" x14ac:dyDescent="0.25">
      <c r="C2792" s="11"/>
    </row>
    <row r="2793" spans="3:3" x14ac:dyDescent="0.25">
      <c r="C2793" s="11"/>
    </row>
    <row r="2794" spans="3:3" x14ac:dyDescent="0.25">
      <c r="C2794" s="11"/>
    </row>
    <row r="2795" spans="3:3" x14ac:dyDescent="0.25">
      <c r="C2795" s="11"/>
    </row>
    <row r="2796" spans="3:3" x14ac:dyDescent="0.25">
      <c r="C2796" s="11"/>
    </row>
    <row r="2797" spans="3:3" x14ac:dyDescent="0.25">
      <c r="C2797" s="11"/>
    </row>
    <row r="2798" spans="3:3" x14ac:dyDescent="0.25">
      <c r="C2798" s="11"/>
    </row>
    <row r="2799" spans="3:3" x14ac:dyDescent="0.25">
      <c r="C2799" s="11"/>
    </row>
    <row r="2800" spans="3:3" x14ac:dyDescent="0.25">
      <c r="C2800" s="11"/>
    </row>
    <row r="2801" spans="3:3" x14ac:dyDescent="0.25">
      <c r="C2801" s="11"/>
    </row>
    <row r="2802" spans="3:3" x14ac:dyDescent="0.25">
      <c r="C2802" s="11"/>
    </row>
    <row r="2803" spans="3:3" x14ac:dyDescent="0.25">
      <c r="C2803" s="11"/>
    </row>
    <row r="2804" spans="3:3" x14ac:dyDescent="0.25">
      <c r="C2804" s="11"/>
    </row>
    <row r="2805" spans="3:3" x14ac:dyDescent="0.25">
      <c r="C2805" s="11"/>
    </row>
    <row r="2806" spans="3:3" x14ac:dyDescent="0.25">
      <c r="C2806" s="11"/>
    </row>
    <row r="2807" spans="3:3" x14ac:dyDescent="0.25">
      <c r="C2807" s="11"/>
    </row>
    <row r="2808" spans="3:3" x14ac:dyDescent="0.25">
      <c r="C2808" s="11"/>
    </row>
    <row r="2809" spans="3:3" x14ac:dyDescent="0.25">
      <c r="C2809" s="11"/>
    </row>
    <row r="2810" spans="3:3" x14ac:dyDescent="0.25">
      <c r="C2810" s="11"/>
    </row>
    <row r="2811" spans="3:3" x14ac:dyDescent="0.25">
      <c r="C2811" s="11"/>
    </row>
    <row r="2812" spans="3:3" x14ac:dyDescent="0.25">
      <c r="C2812" s="11"/>
    </row>
    <row r="2813" spans="3:3" x14ac:dyDescent="0.25">
      <c r="C2813" s="11"/>
    </row>
    <row r="2814" spans="3:3" x14ac:dyDescent="0.25">
      <c r="C2814" s="11"/>
    </row>
    <row r="2815" spans="3:3" x14ac:dyDescent="0.25">
      <c r="C2815" s="11"/>
    </row>
    <row r="2816" spans="3:3" x14ac:dyDescent="0.25">
      <c r="C2816" s="11"/>
    </row>
    <row r="2817" spans="3:3" x14ac:dyDescent="0.25">
      <c r="C2817" s="11"/>
    </row>
    <row r="2818" spans="3:3" x14ac:dyDescent="0.25">
      <c r="C2818" s="11"/>
    </row>
    <row r="2819" spans="3:3" x14ac:dyDescent="0.25">
      <c r="C2819" s="11"/>
    </row>
    <row r="2820" spans="3:3" x14ac:dyDescent="0.25">
      <c r="C2820" s="11"/>
    </row>
    <row r="2821" spans="3:3" x14ac:dyDescent="0.25">
      <c r="C2821" s="11"/>
    </row>
    <row r="2822" spans="3:3" x14ac:dyDescent="0.25">
      <c r="C2822" s="11"/>
    </row>
    <row r="2823" spans="3:3" x14ac:dyDescent="0.25">
      <c r="C2823" s="11"/>
    </row>
    <row r="2824" spans="3:3" x14ac:dyDescent="0.25">
      <c r="C2824" s="11"/>
    </row>
    <row r="2825" spans="3:3" x14ac:dyDescent="0.25">
      <c r="C2825" s="11"/>
    </row>
    <row r="2826" spans="3:3" x14ac:dyDescent="0.25">
      <c r="C2826" s="11"/>
    </row>
    <row r="2827" spans="3:3" x14ac:dyDescent="0.25">
      <c r="C2827" s="11"/>
    </row>
    <row r="2828" spans="3:3" x14ac:dyDescent="0.25">
      <c r="C2828" s="11"/>
    </row>
    <row r="2829" spans="3:3" x14ac:dyDescent="0.25">
      <c r="C2829" s="11"/>
    </row>
    <row r="2830" spans="3:3" x14ac:dyDescent="0.25">
      <c r="C2830" s="11"/>
    </row>
    <row r="2831" spans="3:3" x14ac:dyDescent="0.25">
      <c r="C2831" s="11"/>
    </row>
    <row r="2832" spans="3:3" x14ac:dyDescent="0.25">
      <c r="C2832" s="11"/>
    </row>
    <row r="2833" spans="3:3" x14ac:dyDescent="0.25">
      <c r="C2833" s="11"/>
    </row>
    <row r="2834" spans="3:3" x14ac:dyDescent="0.25">
      <c r="C2834" s="11"/>
    </row>
    <row r="2835" spans="3:3" x14ac:dyDescent="0.25">
      <c r="C2835" s="11"/>
    </row>
    <row r="2836" spans="3:3" x14ac:dyDescent="0.25">
      <c r="C2836" s="11"/>
    </row>
    <row r="2837" spans="3:3" x14ac:dyDescent="0.25">
      <c r="C2837" s="11"/>
    </row>
    <row r="2838" spans="3:3" x14ac:dyDescent="0.25">
      <c r="C2838" s="11"/>
    </row>
    <row r="2839" spans="3:3" x14ac:dyDescent="0.25">
      <c r="C2839" s="11"/>
    </row>
    <row r="2840" spans="3:3" x14ac:dyDescent="0.25">
      <c r="C2840" s="11"/>
    </row>
    <row r="2841" spans="3:3" x14ac:dyDescent="0.25">
      <c r="C2841" s="11"/>
    </row>
    <row r="2842" spans="3:3" x14ac:dyDescent="0.25">
      <c r="C2842" s="11"/>
    </row>
    <row r="2843" spans="3:3" x14ac:dyDescent="0.25">
      <c r="C2843" s="11"/>
    </row>
    <row r="2844" spans="3:3" x14ac:dyDescent="0.25">
      <c r="C2844" s="11"/>
    </row>
    <row r="2845" spans="3:3" x14ac:dyDescent="0.25">
      <c r="C2845" s="11"/>
    </row>
    <row r="2846" spans="3:3" x14ac:dyDescent="0.25">
      <c r="C2846" s="11"/>
    </row>
    <row r="2847" spans="3:3" x14ac:dyDescent="0.25">
      <c r="C2847" s="11"/>
    </row>
    <row r="2848" spans="3:3" x14ac:dyDescent="0.25">
      <c r="C2848" s="11"/>
    </row>
    <row r="2849" spans="3:3" x14ac:dyDescent="0.25">
      <c r="C2849" s="11"/>
    </row>
    <row r="2850" spans="3:3" x14ac:dyDescent="0.25">
      <c r="C2850" s="11"/>
    </row>
    <row r="2851" spans="3:3" x14ac:dyDescent="0.25">
      <c r="C2851" s="11"/>
    </row>
    <row r="2852" spans="3:3" x14ac:dyDescent="0.25">
      <c r="C2852" s="11"/>
    </row>
    <row r="2853" spans="3:3" x14ac:dyDescent="0.25">
      <c r="C2853" s="11"/>
    </row>
    <row r="2854" spans="3:3" x14ac:dyDescent="0.25">
      <c r="C2854" s="11"/>
    </row>
    <row r="2855" spans="3:3" x14ac:dyDescent="0.25">
      <c r="C2855" s="11"/>
    </row>
    <row r="2856" spans="3:3" x14ac:dyDescent="0.25">
      <c r="C2856" s="11"/>
    </row>
    <row r="2857" spans="3:3" x14ac:dyDescent="0.25">
      <c r="C2857" s="11"/>
    </row>
    <row r="2858" spans="3:3" x14ac:dyDescent="0.25">
      <c r="C2858" s="11"/>
    </row>
    <row r="2859" spans="3:3" x14ac:dyDescent="0.25">
      <c r="C2859" s="11"/>
    </row>
    <row r="2860" spans="3:3" x14ac:dyDescent="0.25">
      <c r="C2860" s="11"/>
    </row>
    <row r="2861" spans="3:3" x14ac:dyDescent="0.25">
      <c r="C2861" s="11"/>
    </row>
    <row r="2862" spans="3:3" x14ac:dyDescent="0.25">
      <c r="C2862" s="11"/>
    </row>
    <row r="2863" spans="3:3" x14ac:dyDescent="0.25">
      <c r="C2863" s="11"/>
    </row>
    <row r="2864" spans="3:3" x14ac:dyDescent="0.25">
      <c r="C2864" s="11"/>
    </row>
    <row r="2865" spans="3:3" x14ac:dyDescent="0.25">
      <c r="C2865" s="11"/>
    </row>
    <row r="2866" spans="3:3" x14ac:dyDescent="0.25">
      <c r="C2866" s="11"/>
    </row>
    <row r="2867" spans="3:3" x14ac:dyDescent="0.25">
      <c r="C2867" s="11"/>
    </row>
    <row r="2868" spans="3:3" x14ac:dyDescent="0.25">
      <c r="C2868" s="11"/>
    </row>
    <row r="2869" spans="3:3" x14ac:dyDescent="0.25">
      <c r="C2869" s="11"/>
    </row>
    <row r="2870" spans="3:3" x14ac:dyDescent="0.25">
      <c r="C2870" s="11"/>
    </row>
    <row r="2871" spans="3:3" x14ac:dyDescent="0.25">
      <c r="C2871" s="11"/>
    </row>
    <row r="2872" spans="3:3" x14ac:dyDescent="0.25">
      <c r="C2872" s="11"/>
    </row>
    <row r="2873" spans="3:3" x14ac:dyDescent="0.25">
      <c r="C2873" s="11"/>
    </row>
    <row r="2874" spans="3:3" x14ac:dyDescent="0.25">
      <c r="C2874" s="11"/>
    </row>
    <row r="2875" spans="3:3" x14ac:dyDescent="0.25">
      <c r="C2875" s="11"/>
    </row>
    <row r="2876" spans="3:3" x14ac:dyDescent="0.25">
      <c r="C2876" s="11"/>
    </row>
    <row r="2877" spans="3:3" x14ac:dyDescent="0.25">
      <c r="C2877" s="11"/>
    </row>
    <row r="2878" spans="3:3" x14ac:dyDescent="0.25">
      <c r="C2878" s="11"/>
    </row>
    <row r="2879" spans="3:3" x14ac:dyDescent="0.25">
      <c r="C2879" s="11"/>
    </row>
    <row r="2880" spans="3:3" x14ac:dyDescent="0.25">
      <c r="C2880" s="11"/>
    </row>
    <row r="2881" spans="3:3" x14ac:dyDescent="0.25">
      <c r="C2881" s="11"/>
    </row>
    <row r="2882" spans="3:3" x14ac:dyDescent="0.25">
      <c r="C2882" s="11"/>
    </row>
    <row r="2883" spans="3:3" x14ac:dyDescent="0.25">
      <c r="C2883" s="11"/>
    </row>
    <row r="2884" spans="3:3" x14ac:dyDescent="0.25">
      <c r="C2884" s="11"/>
    </row>
    <row r="2885" spans="3:3" x14ac:dyDescent="0.25">
      <c r="C2885" s="11"/>
    </row>
    <row r="2886" spans="3:3" x14ac:dyDescent="0.25">
      <c r="C2886" s="11"/>
    </row>
    <row r="2887" spans="3:3" x14ac:dyDescent="0.25">
      <c r="C2887" s="11"/>
    </row>
    <row r="2888" spans="3:3" x14ac:dyDescent="0.25">
      <c r="C2888" s="11"/>
    </row>
    <row r="2889" spans="3:3" x14ac:dyDescent="0.25">
      <c r="C2889" s="11"/>
    </row>
    <row r="2890" spans="3:3" x14ac:dyDescent="0.25">
      <c r="C2890" s="11"/>
    </row>
    <row r="2891" spans="3:3" x14ac:dyDescent="0.25">
      <c r="C2891" s="11"/>
    </row>
    <row r="2892" spans="3:3" x14ac:dyDescent="0.25">
      <c r="C2892" s="11"/>
    </row>
    <row r="2893" spans="3:3" x14ac:dyDescent="0.25">
      <c r="C2893" s="11"/>
    </row>
    <row r="2894" spans="3:3" x14ac:dyDescent="0.25">
      <c r="C2894" s="11"/>
    </row>
    <row r="2895" spans="3:3" x14ac:dyDescent="0.25">
      <c r="C2895" s="11"/>
    </row>
    <row r="2896" spans="3:3" x14ac:dyDescent="0.25">
      <c r="C2896" s="11"/>
    </row>
    <row r="2897" spans="3:3" x14ac:dyDescent="0.25">
      <c r="C2897" s="11"/>
    </row>
    <row r="2898" spans="3:3" x14ac:dyDescent="0.25">
      <c r="C2898" s="11"/>
    </row>
    <row r="2899" spans="3:3" x14ac:dyDescent="0.25">
      <c r="C2899" s="11"/>
    </row>
    <row r="2900" spans="3:3" x14ac:dyDescent="0.25">
      <c r="C2900" s="11"/>
    </row>
    <row r="2901" spans="3:3" x14ac:dyDescent="0.25">
      <c r="C2901" s="11"/>
    </row>
    <row r="2902" spans="3:3" x14ac:dyDescent="0.25">
      <c r="C2902" s="11"/>
    </row>
    <row r="2903" spans="3:3" x14ac:dyDescent="0.25">
      <c r="C2903" s="11"/>
    </row>
    <row r="2904" spans="3:3" x14ac:dyDescent="0.25">
      <c r="C2904" s="11"/>
    </row>
    <row r="2905" spans="3:3" x14ac:dyDescent="0.25">
      <c r="C2905" s="11"/>
    </row>
    <row r="2906" spans="3:3" x14ac:dyDescent="0.25">
      <c r="C2906" s="11"/>
    </row>
    <row r="2907" spans="3:3" x14ac:dyDescent="0.25">
      <c r="C2907" s="11"/>
    </row>
    <row r="2908" spans="3:3" x14ac:dyDescent="0.25">
      <c r="C2908" s="11"/>
    </row>
    <row r="2909" spans="3:3" x14ac:dyDescent="0.25">
      <c r="C2909" s="11"/>
    </row>
    <row r="2910" spans="3:3" x14ac:dyDescent="0.25">
      <c r="C2910" s="11"/>
    </row>
    <row r="2911" spans="3:3" x14ac:dyDescent="0.25">
      <c r="C2911" s="11"/>
    </row>
    <row r="2912" spans="3:3" x14ac:dyDescent="0.25">
      <c r="C2912" s="11"/>
    </row>
    <row r="2913" spans="3:3" x14ac:dyDescent="0.25">
      <c r="C2913" s="11"/>
    </row>
    <row r="2914" spans="3:3" x14ac:dyDescent="0.25">
      <c r="C2914" s="11"/>
    </row>
    <row r="2915" spans="3:3" x14ac:dyDescent="0.25">
      <c r="C2915" s="11"/>
    </row>
    <row r="2916" spans="3:3" x14ac:dyDescent="0.25">
      <c r="C2916" s="11"/>
    </row>
    <row r="2917" spans="3:3" x14ac:dyDescent="0.25">
      <c r="C2917" s="11"/>
    </row>
    <row r="2918" spans="3:3" x14ac:dyDescent="0.25">
      <c r="C2918" s="11"/>
    </row>
    <row r="2919" spans="3:3" x14ac:dyDescent="0.25">
      <c r="C2919" s="11"/>
    </row>
    <row r="2920" spans="3:3" x14ac:dyDescent="0.25">
      <c r="C2920" s="11"/>
    </row>
    <row r="2921" spans="3:3" x14ac:dyDescent="0.25">
      <c r="C2921" s="11"/>
    </row>
    <row r="2922" spans="3:3" x14ac:dyDescent="0.25">
      <c r="C2922" s="11"/>
    </row>
    <row r="2923" spans="3:3" x14ac:dyDescent="0.25">
      <c r="C2923" s="11"/>
    </row>
    <row r="2924" spans="3:3" x14ac:dyDescent="0.25">
      <c r="C2924" s="11"/>
    </row>
    <row r="2925" spans="3:3" x14ac:dyDescent="0.25">
      <c r="C2925" s="11"/>
    </row>
    <row r="2926" spans="3:3" x14ac:dyDescent="0.25">
      <c r="C2926" s="11"/>
    </row>
    <row r="2927" spans="3:3" x14ac:dyDescent="0.25">
      <c r="C2927" s="11"/>
    </row>
    <row r="2928" spans="3:3" x14ac:dyDescent="0.25">
      <c r="C2928" s="11"/>
    </row>
    <row r="2929" spans="3:3" x14ac:dyDescent="0.25">
      <c r="C2929" s="11"/>
    </row>
    <row r="2930" spans="3:3" x14ac:dyDescent="0.25">
      <c r="C2930" s="11"/>
    </row>
    <row r="2931" spans="3:3" x14ac:dyDescent="0.25">
      <c r="C2931" s="11"/>
    </row>
    <row r="2932" spans="3:3" x14ac:dyDescent="0.25">
      <c r="C2932" s="11"/>
    </row>
    <row r="2933" spans="3:3" x14ac:dyDescent="0.25">
      <c r="C2933" s="11"/>
    </row>
    <row r="2934" spans="3:3" x14ac:dyDescent="0.25">
      <c r="C2934" s="11"/>
    </row>
    <row r="2935" spans="3:3" x14ac:dyDescent="0.25">
      <c r="C2935" s="11"/>
    </row>
    <row r="2936" spans="3:3" x14ac:dyDescent="0.25">
      <c r="C2936" s="11"/>
    </row>
    <row r="2937" spans="3:3" x14ac:dyDescent="0.25">
      <c r="C2937" s="11"/>
    </row>
    <row r="2938" spans="3:3" x14ac:dyDescent="0.25">
      <c r="C2938" s="11"/>
    </row>
    <row r="2939" spans="3:3" x14ac:dyDescent="0.25">
      <c r="C2939" s="11"/>
    </row>
    <row r="2940" spans="3:3" x14ac:dyDescent="0.25">
      <c r="C2940" s="11"/>
    </row>
    <row r="2941" spans="3:3" x14ac:dyDescent="0.25">
      <c r="C2941" s="11"/>
    </row>
    <row r="2942" spans="3:3" x14ac:dyDescent="0.25">
      <c r="C2942" s="11"/>
    </row>
    <row r="2943" spans="3:3" x14ac:dyDescent="0.25">
      <c r="C2943" s="11"/>
    </row>
    <row r="2944" spans="3:3" x14ac:dyDescent="0.25">
      <c r="C2944" s="11"/>
    </row>
    <row r="2945" spans="3:3" x14ac:dyDescent="0.25">
      <c r="C2945" s="11"/>
    </row>
    <row r="2946" spans="3:3" x14ac:dyDescent="0.25">
      <c r="C2946" s="11"/>
    </row>
    <row r="2947" spans="3:3" x14ac:dyDescent="0.25">
      <c r="C2947" s="11"/>
    </row>
    <row r="2948" spans="3:3" x14ac:dyDescent="0.25">
      <c r="C2948" s="11"/>
    </row>
    <row r="2949" spans="3:3" x14ac:dyDescent="0.25">
      <c r="C2949" s="11"/>
    </row>
    <row r="2950" spans="3:3" x14ac:dyDescent="0.25">
      <c r="C2950" s="11"/>
    </row>
    <row r="2951" spans="3:3" x14ac:dyDescent="0.25">
      <c r="C2951" s="11"/>
    </row>
    <row r="2952" spans="3:3" x14ac:dyDescent="0.25">
      <c r="C2952" s="11"/>
    </row>
    <row r="2953" spans="3:3" x14ac:dyDescent="0.25">
      <c r="C2953" s="11"/>
    </row>
    <row r="2954" spans="3:3" x14ac:dyDescent="0.25">
      <c r="C2954" s="11"/>
    </row>
    <row r="2955" spans="3:3" x14ac:dyDescent="0.25">
      <c r="C2955" s="11"/>
    </row>
    <row r="2956" spans="3:3" x14ac:dyDescent="0.25">
      <c r="C2956" s="11"/>
    </row>
    <row r="2957" spans="3:3" x14ac:dyDescent="0.25">
      <c r="C2957" s="11"/>
    </row>
    <row r="2958" spans="3:3" x14ac:dyDescent="0.25">
      <c r="C2958" s="11"/>
    </row>
    <row r="2959" spans="3:3" x14ac:dyDescent="0.25">
      <c r="C2959" s="11"/>
    </row>
    <row r="2960" spans="3:3" x14ac:dyDescent="0.25">
      <c r="C2960" s="11"/>
    </row>
    <row r="2961" spans="3:3" x14ac:dyDescent="0.25">
      <c r="C2961" s="11"/>
    </row>
    <row r="2962" spans="3:3" x14ac:dyDescent="0.25">
      <c r="C2962" s="11"/>
    </row>
    <row r="2963" spans="3:3" x14ac:dyDescent="0.25">
      <c r="C2963" s="11"/>
    </row>
    <row r="2964" spans="3:3" x14ac:dyDescent="0.25">
      <c r="C2964" s="11"/>
    </row>
    <row r="2965" spans="3:3" x14ac:dyDescent="0.25">
      <c r="C2965" s="11"/>
    </row>
    <row r="2966" spans="3:3" x14ac:dyDescent="0.25">
      <c r="C2966" s="11"/>
    </row>
  </sheetData>
  <sheetProtection selectLockedCells="1" autoFilter="0" selectUnlockedCells="1"/>
  <mergeCells count="2">
    <mergeCell ref="B13:E13"/>
    <mergeCell ref="B7:E7"/>
  </mergeCells>
  <conditionalFormatting sqref="C39 C41:C1048576">
    <cfRule type="expression" dxfId="85" priority="106">
      <formula>INDEX(_xlfn.ANCHORARRAY($B$41),ROW()-ROW($B$41)+1,2)&lt;$C$4</formula>
    </cfRule>
    <cfRule type="expression" dxfId="84" priority="107">
      <formula>INDEX(_xlfn.ANCHORARRAY($B$41),ROW()-ROW($B$41)+1,2)&gt;$E$4</formula>
    </cfRule>
    <cfRule type="expression" dxfId="83" priority="108">
      <formula>INDEX(_xlfn.ANCHORARRAY($B$41),ROW()-ROW($B$41)+1,2)&lt;$E$4</formula>
    </cfRule>
  </conditionalFormatting>
  <conditionalFormatting sqref="D39 D41:D1048576">
    <cfRule type="expression" dxfId="82" priority="112">
      <formula>INDEX(_xlfn.ANCHORARRAY($B$41),ROW()-ROW($B$41)+1,3)&lt;$C$3</formula>
    </cfRule>
    <cfRule type="expression" dxfId="81" priority="113">
      <formula>INDEX(_xlfn.ANCHORARRAY($B$41),ROW()-ROW($B$41)+1,3)&gt;$E$3</formula>
    </cfRule>
    <cfRule type="expression" dxfId="80" priority="114">
      <formula>INDEX(_xlfn.ANCHORARRAY($B$41),ROW()-ROW($B$41)+1,3)&lt;$E$3</formula>
    </cfRule>
  </conditionalFormatting>
  <conditionalFormatting sqref="E39 E41:E1048576">
    <cfRule type="expression" dxfId="79" priority="118">
      <formula>INDEX(_xlfn.ANCHORARRAY($B$41),ROW()-ROW($B$41)+1,4)&lt;$C$5</formula>
    </cfRule>
    <cfRule type="expression" dxfId="78" priority="119">
      <formula>INDEX(_xlfn.ANCHORARRAY($B$41),ROW()-ROW($B$41)+1,4)&gt;$E$5</formula>
    </cfRule>
    <cfRule type="expression" dxfId="77" priority="120">
      <formula>INDEX(_xlfn.ANCHORARRAY($B$41),ROW()-ROW($B$41)+1,4)&lt;$E$5</formula>
    </cfRule>
  </conditionalFormatting>
  <conditionalFormatting pivot="1">
    <cfRule type="cellIs" dxfId="76" priority="42" operator="lessThan">
      <formula>0.8</formula>
    </cfRule>
    <cfRule type="cellIs" dxfId="75" priority="43" operator="between">
      <formula>0.8</formula>
      <formula>0.9</formula>
    </cfRule>
    <cfRule type="cellIs" dxfId="74" priority="44" operator="greaterThan">
      <formula>0.9</formula>
    </cfRule>
  </conditionalFormatting>
  <conditionalFormatting pivot="1">
    <cfRule type="cellIs" dxfId="73" priority="39" operator="lessThan">
      <formula>0.7</formula>
    </cfRule>
    <cfRule type="cellIs" dxfId="72" priority="40" operator="between">
      <formula>0.7</formula>
      <formula>0.85</formula>
    </cfRule>
    <cfRule type="cellIs" dxfId="71" priority="41" operator="greaterThan">
      <formula>0.85</formula>
    </cfRule>
  </conditionalFormatting>
  <conditionalFormatting pivot="1">
    <cfRule type="cellIs" dxfId="70" priority="36" operator="lessThan">
      <formula>0.6</formula>
    </cfRule>
    <cfRule type="cellIs" dxfId="69" priority="37" operator="between">
      <formula>0.6</formula>
      <formula>0.8</formula>
    </cfRule>
    <cfRule type="cellIs" dxfId="68" priority="38" operator="greaterThan">
      <formula>0.8</formula>
    </cfRule>
  </conditionalFormatting>
  <conditionalFormatting sqref="C11">
    <cfRule type="cellIs" dxfId="67" priority="33" operator="lessThan">
      <formula>0.7</formula>
    </cfRule>
    <cfRule type="cellIs" dxfId="66" priority="34" operator="between">
      <formula>0.7</formula>
      <formula>0.85</formula>
    </cfRule>
    <cfRule type="cellIs" dxfId="65" priority="35" operator="greaterThan">
      <formula>0.85</formula>
    </cfRule>
  </conditionalFormatting>
  <conditionalFormatting sqref="D11">
    <cfRule type="cellIs" dxfId="64" priority="30" operator="lessThan">
      <formula>0.8</formula>
    </cfRule>
    <cfRule type="cellIs" dxfId="63" priority="31" operator="between">
      <formula>0.8</formula>
      <formula>0.9</formula>
    </cfRule>
    <cfRule type="cellIs" dxfId="62" priority="32" operator="greaterThan">
      <formula>0.9</formula>
    </cfRule>
  </conditionalFormatting>
  <conditionalFormatting sqref="E11">
    <cfRule type="cellIs" dxfId="61" priority="27" operator="lessThan">
      <formula>0.6</formula>
    </cfRule>
    <cfRule type="cellIs" dxfId="60" priority="28" operator="between">
      <formula>0.6</formula>
      <formula>0.8</formula>
    </cfRule>
    <cfRule type="cellIs" dxfId="59" priority="29" operator="greaterThan">
      <formula>0.8</formula>
    </cfRule>
  </conditionalFormatting>
  <conditionalFormatting pivot="1">
    <cfRule type="cellIs" dxfId="58" priority="26" operator="between">
      <formula>0</formula>
      <formula>0</formula>
    </cfRule>
  </conditionalFormatting>
  <conditionalFormatting pivot="1">
    <cfRule type="cellIs" dxfId="57" priority="23" operator="lessThan">
      <formula>0.8</formula>
    </cfRule>
    <cfRule type="cellIs" dxfId="56" priority="24" operator="between">
      <formula>0.8</formula>
      <formula>0.9</formula>
    </cfRule>
    <cfRule type="cellIs" dxfId="55" priority="25" operator="greaterThan">
      <formula>0.9</formula>
    </cfRule>
  </conditionalFormatting>
  <conditionalFormatting pivot="1">
    <cfRule type="cellIs" dxfId="54" priority="22" operator="between">
      <formula>0</formula>
      <formula>0</formula>
    </cfRule>
  </conditionalFormatting>
  <conditionalFormatting pivot="1">
    <cfRule type="cellIs" dxfId="53" priority="19" operator="lessThan">
      <formula>0.6</formula>
    </cfRule>
    <cfRule type="cellIs" dxfId="52" priority="20" operator="between">
      <formula>0.6</formula>
      <formula>0.8</formula>
    </cfRule>
    <cfRule type="cellIs" dxfId="51" priority="21" operator="greaterThan">
      <formula>0.8</formula>
    </cfRule>
  </conditionalFormatting>
  <conditionalFormatting pivot="1">
    <cfRule type="cellIs" dxfId="50" priority="16" operator="lessThan">
      <formula>0.7</formula>
    </cfRule>
    <cfRule type="cellIs" dxfId="49" priority="17" operator="between">
      <formula>0.7</formula>
      <formula>0.85</formula>
    </cfRule>
    <cfRule type="cellIs" dxfId="48" priority="18" operator="greaterThan">
      <formula>0.85</formula>
    </cfRule>
  </conditionalFormatting>
  <conditionalFormatting pivot="1">
    <cfRule type="cellIs" dxfId="47" priority="13" operator="lessThan">
      <formula>0.8</formula>
    </cfRule>
    <cfRule type="cellIs" dxfId="46" priority="14" operator="between">
      <formula>0.8</formula>
      <formula>0.9</formula>
    </cfRule>
    <cfRule type="cellIs" dxfId="45" priority="15" operator="greaterThan">
      <formula>0.9</formula>
    </cfRule>
  </conditionalFormatting>
  <conditionalFormatting pivot="1">
    <cfRule type="cellIs" dxfId="44" priority="10" operator="lessThan">
      <formula>0.6</formula>
    </cfRule>
    <cfRule type="cellIs" dxfId="43" priority="11" operator="between">
      <formula>0.6</formula>
      <formula>0.8</formula>
    </cfRule>
    <cfRule type="cellIs" dxfId="42" priority="12" operator="greaterThan">
      <formula>0.8</formula>
    </cfRule>
  </conditionalFormatting>
  <conditionalFormatting pivot="1" sqref="C15:C35">
    <cfRule type="cellIs" dxfId="41" priority="7" operator="lessThan">
      <formula>0.7</formula>
    </cfRule>
    <cfRule type="cellIs" dxfId="40" priority="8" operator="between">
      <formula>0.7</formula>
      <formula>0.85</formula>
    </cfRule>
    <cfRule type="cellIs" dxfId="39" priority="9" operator="greaterThan">
      <formula>0.85</formula>
    </cfRule>
  </conditionalFormatting>
  <conditionalFormatting pivot="1" sqref="D15:D35">
    <cfRule type="cellIs" dxfId="38" priority="4" operator="lessThan">
      <formula>0.8</formula>
    </cfRule>
    <cfRule type="cellIs" dxfId="37" priority="5" operator="between">
      <formula>0.8</formula>
      <formula>0.9</formula>
    </cfRule>
    <cfRule type="cellIs" dxfId="36" priority="6" operator="greaterThan">
      <formula>0.9</formula>
    </cfRule>
  </conditionalFormatting>
  <conditionalFormatting pivot="1" sqref="E15:E35">
    <cfRule type="cellIs" dxfId="35" priority="1" operator="lessThan">
      <formula>0.6</formula>
    </cfRule>
    <cfRule type="cellIs" dxfId="34" priority="2" operator="between">
      <formula>0.6</formula>
      <formula>0.8</formula>
    </cfRule>
    <cfRule type="cellIs" dxfId="33" priority="3" operator="greaterThan">
      <formula>0.8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06544A-64D7-45CC-8DAE-85E9CDE9F8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BD_PROD</vt:lpstr>
      <vt:lpstr>BD_PARADAS</vt:lpstr>
      <vt:lpstr>RELATÓRIO_EFIC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Teodoro</dc:creator>
  <cp:lastModifiedBy>Alex Teodoro - PCP</cp:lastModifiedBy>
  <cp:lastPrinted>2025-09-18T15:22:15Z</cp:lastPrinted>
  <dcterms:created xsi:type="dcterms:W3CDTF">2025-07-30T14:15:53Z</dcterms:created>
  <dcterms:modified xsi:type="dcterms:W3CDTF">2026-04-08T19:51:32Z</dcterms:modified>
</cp:coreProperties>
</file>